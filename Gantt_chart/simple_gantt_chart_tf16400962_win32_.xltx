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filterPrivacy="1" codeName="ThisWorkbook"/>
  <bookViews>
    <workbookView xWindow="-120" yWindow="4080" windowWidth="28980" windowHeight="16215"/>
  </bookViews>
  <sheets>
    <sheet name="プロジェクトのスケジュール" sheetId="11" r:id="rId1"/>
    <sheet name="祝日" sheetId="13" r:id="rId2"/>
    <sheet name="詳細情報" sheetId="12" r:id="rId3"/>
  </sheets>
  <definedNames>
    <definedName name="_祝日">祝日!$B$2:$D$26</definedName>
    <definedName name="_xlnm.Print_Titles" localSheetId="0">プロジェクトのスケジュール!$4:$6</definedName>
    <definedName name="タスク_開始" localSheetId="0">プロジェクトのスケジュール!$E1</definedName>
    <definedName name="タスク_終了" localSheetId="0">プロジェクトのスケジュール!$F1</definedName>
    <definedName name="タスク_進捗状況" localSheetId="0">プロジェクトのスケジュール!$D1</definedName>
    <definedName name="プロジェクトの開始">プロジェクトのスケジュール!$E$3</definedName>
    <definedName name="今日" localSheetId="0">TODAY()</definedName>
    <definedName name="週表示">プロジェクトのスケジュール!$E$4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1" i="11" l="1"/>
  <c r="H14" i="11"/>
  <c r="I14" i="11" l="1"/>
  <c r="I21" i="11"/>
  <c r="I7" i="11"/>
  <c r="H7" i="11"/>
  <c r="E3" i="11" l="1"/>
  <c r="D26" i="11"/>
  <c r="D25" i="11"/>
  <c r="D24" i="11"/>
  <c r="D23" i="11"/>
  <c r="D22" i="11"/>
  <c r="D19" i="11"/>
  <c r="D18" i="11"/>
  <c r="D17" i="11"/>
  <c r="D16" i="11"/>
  <c r="D15" i="11"/>
  <c r="D12" i="11"/>
  <c r="D11" i="11"/>
  <c r="D10" i="11"/>
  <c r="D9" i="11"/>
  <c r="D8" i="11"/>
  <c r="E15" i="11" l="1"/>
  <c r="E22" i="11"/>
  <c r="E8" i="11"/>
  <c r="J5" i="11"/>
  <c r="J6" i="11" s="1"/>
  <c r="F22" i="11" l="1"/>
  <c r="F15" i="11"/>
  <c r="I22" i="11"/>
  <c r="I23" i="11"/>
  <c r="E23" i="11" l="1"/>
  <c r="F23" i="11" s="1"/>
  <c r="E24" i="11" s="1"/>
  <c r="I24" i="11"/>
  <c r="K5" i="11"/>
  <c r="F24" i="11" l="1"/>
  <c r="E25" i="11" s="1"/>
  <c r="F25" i="11" s="1"/>
  <c r="L5" i="11"/>
  <c r="M5" i="11" l="1"/>
  <c r="N5" i="11" l="1"/>
  <c r="O5" i="11" l="1"/>
  <c r="P5" i="11" l="1"/>
  <c r="Q5" i="11" l="1"/>
  <c r="Q6" i="11" s="1"/>
  <c r="P6" i="11"/>
  <c r="O6" i="11"/>
  <c r="N6" i="11"/>
  <c r="M6" i="11"/>
  <c r="L6" i="11"/>
  <c r="K6" i="11"/>
  <c r="J4" i="11"/>
  <c r="Q4" i="11" l="1"/>
  <c r="R5" i="11"/>
  <c r="I25" i="11" l="1"/>
  <c r="E26" i="11"/>
  <c r="E21" i="11" s="1"/>
  <c r="S5" i="11"/>
  <c r="I26" i="11" l="1"/>
  <c r="G21" i="11" s="1"/>
  <c r="D21" i="11" s="1"/>
  <c r="F26" i="11"/>
  <c r="F21" i="11" s="1"/>
  <c r="T5" i="11"/>
  <c r="U5" i="11" l="1"/>
  <c r="I15" i="11" l="1"/>
  <c r="E16" i="11"/>
  <c r="V5" i="11"/>
  <c r="F16" i="11" l="1"/>
  <c r="I16" i="11"/>
  <c r="W5" i="11"/>
  <c r="E17" i="11" l="1"/>
  <c r="X5" i="11"/>
  <c r="X6" i="11" s="1"/>
  <c r="W6" i="11"/>
  <c r="V6" i="11"/>
  <c r="U6" i="11"/>
  <c r="T6" i="11"/>
  <c r="S6" i="11"/>
  <c r="R6" i="11"/>
  <c r="F17" i="11" l="1"/>
  <c r="X4" i="11"/>
  <c r="I17" i="11"/>
  <c r="Y5" i="11"/>
  <c r="Z5" i="11" s="1"/>
  <c r="E18" i="11" l="1"/>
  <c r="F18" i="11" s="1"/>
  <c r="E19" i="11" s="1"/>
  <c r="E14" i="11" s="1"/>
  <c r="I18" i="11"/>
  <c r="AA5" i="11"/>
  <c r="I19" i="11" l="1"/>
  <c r="G14" i="11" s="1"/>
  <c r="D14" i="11" s="1"/>
  <c r="F19" i="11"/>
  <c r="F14" i="11" s="1"/>
  <c r="AB5" i="11"/>
  <c r="AC5" i="11" l="1"/>
  <c r="AD5" i="11" l="1"/>
  <c r="AE5" i="11" l="1"/>
  <c r="AE6" i="11" s="1"/>
  <c r="AD6" i="11"/>
  <c r="AC6" i="11"/>
  <c r="AB6" i="11"/>
  <c r="AA6" i="11"/>
  <c r="Z6" i="11"/>
  <c r="Y6" i="11"/>
  <c r="AF5" i="11" l="1"/>
  <c r="AG5" i="11" s="1"/>
  <c r="AH5" i="11" l="1"/>
  <c r="AI5" i="11" l="1"/>
  <c r="AJ5" i="11" l="1"/>
  <c r="AK5" i="11" l="1"/>
  <c r="AK6" i="11" s="1"/>
  <c r="AJ6" i="11"/>
  <c r="AI6" i="11"/>
  <c r="AH6" i="11"/>
  <c r="AG6" i="11"/>
  <c r="AF6" i="11"/>
  <c r="AE4" i="11"/>
  <c r="AL5" i="11" l="1"/>
  <c r="AM5" i="11" l="1"/>
  <c r="AN5" i="11" l="1"/>
  <c r="AO5" i="11" l="1"/>
  <c r="AP5" i="11" l="1"/>
  <c r="AQ5" i="11" l="1"/>
  <c r="AR5" i="11" l="1"/>
  <c r="AR6" i="11" s="1"/>
  <c r="AQ6" i="11"/>
  <c r="AP6" i="11"/>
  <c r="AO6" i="11"/>
  <c r="AN6" i="11"/>
  <c r="AM6" i="11"/>
  <c r="AL6" i="11"/>
  <c r="AS5" i="11" l="1"/>
  <c r="AT5" i="11" s="1"/>
  <c r="AT6" i="11" s="1"/>
  <c r="AL4" i="11"/>
  <c r="AS6" i="11" l="1"/>
  <c r="AU5" i="11"/>
  <c r="AU6" i="11" s="1"/>
  <c r="AS4" i="11"/>
  <c r="AV5" i="11" l="1"/>
  <c r="AV6" i="11" s="1"/>
  <c r="AW5" i="11" l="1"/>
  <c r="AW6" i="11" s="1"/>
  <c r="AX5" i="11" l="1"/>
  <c r="AX6" i="11" s="1"/>
  <c r="AY5" i="11" l="1"/>
  <c r="AZ5" i="11" l="1"/>
  <c r="AZ6" i="11" s="1"/>
  <c r="AY6" i="11"/>
  <c r="AZ4" i="11" l="1"/>
  <c r="BA5" i="11"/>
  <c r="BA6" i="11" s="1"/>
  <c r="BB5" i="11" l="1"/>
  <c r="BB6" i="11" s="1"/>
  <c r="BC5" i="11" l="1"/>
  <c r="BC6" i="11" s="1"/>
  <c r="BD5" i="11" l="1"/>
  <c r="BD6" i="11" s="1"/>
  <c r="BE5" i="11" l="1"/>
  <c r="BE6" i="11" s="1"/>
  <c r="BF5" i="11" l="1"/>
  <c r="BF6" i="11" s="1"/>
  <c r="BG5" i="11" l="1"/>
  <c r="BG6" i="11" s="1"/>
  <c r="BG4" i="11" l="1"/>
  <c r="BH5" i="11"/>
  <c r="BH6" i="11" s="1"/>
  <c r="BI5" i="11" l="1"/>
  <c r="BI6" i="11" s="1"/>
  <c r="BJ5" i="11" l="1"/>
  <c r="BJ6" i="11" s="1"/>
  <c r="BK5" i="11" l="1"/>
  <c r="BK6" i="11" s="1"/>
  <c r="BL5" i="11" l="1"/>
  <c r="BL6" i="11" s="1"/>
  <c r="I8" i="11"/>
  <c r="F8" i="11"/>
  <c r="BM5" i="11" l="1"/>
  <c r="BM6" i="11" s="1"/>
  <c r="E9" i="11"/>
  <c r="I9" i="11"/>
  <c r="F9" i="11" l="1"/>
  <c r="I10" i="11"/>
  <c r="E10" i="11" l="1"/>
  <c r="F10" i="11" s="1"/>
  <c r="I11" i="11"/>
  <c r="E11" i="11" l="1"/>
  <c r="F11" i="11" s="1"/>
  <c r="I12" i="11"/>
  <c r="G7" i="11" s="1"/>
  <c r="D7" i="11" s="1"/>
  <c r="E12" i="11" l="1"/>
  <c r="E7" i="11" s="1"/>
  <c r="F12" i="11" l="1"/>
  <c r="F7" i="11" s="1"/>
</calcChain>
</file>

<file path=xl/comments1.xml><?xml version="1.0" encoding="utf-8"?>
<comments xmlns="http://schemas.openxmlformats.org/spreadsheetml/2006/main">
  <authors>
    <author>作成者</author>
  </authors>
  <commentList>
    <comment ref="G6" authorId="0" shapeId="0">
      <text>
        <r>
          <rPr>
            <sz val="9"/>
            <color indexed="81"/>
            <rFont val="MS P ゴシック"/>
            <family val="3"/>
            <charset val="128"/>
          </rPr>
          <t>毎日更新します。あまり進捗が無ければ減らさず、大きく進捗があれば1日に2減らすこともあります。整数のみ入力できます。</t>
        </r>
      </text>
    </comment>
    <comment ref="H6" authorId="0" shapeId="0">
      <text>
        <r>
          <rPr>
            <sz val="9"/>
            <color indexed="81"/>
            <rFont val="MS P ゴシック"/>
            <family val="3"/>
            <charset val="128"/>
          </rPr>
          <t>計画時と再計画時（大きく見直すとき）だけ変更します。整数のみ入力できます。</t>
        </r>
      </text>
    </comment>
    <comment ref="A13" authorId="0" shapeId="0">
      <text>
        <r>
          <rPr>
            <sz val="9"/>
            <color indexed="81"/>
            <rFont val="MS P ゴシック"/>
            <family val="3"/>
            <charset val="128"/>
          </rPr>
          <t>タスクを増やすときは、行の「挿入」をしてからセルの内容をコピーしてください。
また、I列もコピーしてください。
「コピーしたセルの挿入」をすると条件付き書式が徐々に壊れていきます。</t>
        </r>
      </text>
    </comment>
    <comment ref="A20" authorId="0" shapeId="0">
      <text>
        <r>
          <rPr>
            <sz val="9"/>
            <color indexed="81"/>
            <rFont val="MS P ゴシック"/>
            <family val="3"/>
            <charset val="128"/>
          </rPr>
          <t>タスクを増やすときは、行の「挿入」をしてからセルの内容をコピーしてください。
また、I列もコピーしてください。
「コピーしたセルの挿入」をすると条件付き書式が徐々に壊れていきます。</t>
        </r>
      </text>
    </comment>
    <comment ref="A27" authorId="0" shapeId="0">
      <text>
        <r>
          <rPr>
            <sz val="9"/>
            <color indexed="81"/>
            <rFont val="MS P ゴシック"/>
            <family val="3"/>
            <charset val="128"/>
          </rPr>
          <t>タスクを増やすときは、行の「挿入」をしてからセルの内容をコピーしてください。
また、I列もコピーしてください。
「コピーしたセルの挿入」をすると条件付き書式が徐々に壊れていきます。</t>
        </r>
      </text>
    </comment>
  </commentList>
</comments>
</file>

<file path=xl/sharedStrings.xml><?xml version="1.0" encoding="utf-8"?>
<sst xmlns="http://schemas.openxmlformats.org/spreadsheetml/2006/main" count="59" uniqueCount="47">
  <si>
    <t>このワークシートでプロジェクトのスケジュール​​を作成します。
セル B1 には、このプロジェクトのタイトルを入力します。
このワークシートの使用方法に関する情報 (スクリーン リーダーの説明やブックの作成者など) は、"詳細情報" ワークシートに入ります。
列 A を下方に移動し続けると、さらに多くの情報を確認できます。</t>
  </si>
  <si>
    <t>セル B2 には会社の名前を入力します。</t>
  </si>
  <si>
    <t>セル B3 に、プロジェクト主任の名前を入力します。セル E3 には、プロジェクトの開始日を入力します。プロジェクトの開始: ラベルはセル C3 にあります。</t>
  </si>
  <si>
    <t>セル E4 の週表示は、セル I4 のプロジェクトのスケジュールに表示する開始週を表します。プロジェクトの開始日は、第 1 週と見なされます。週表示を変更するには、セル E4 に新しい週番号を入力します。
セル E4 の週表示から始まる各週の開始日は、セル I4 から始まり、自動計算されます。このビューには、セル I4 からセル BF4 までの 8 週間が表示されます。
これらのセルは変更しないでください。
週表示: ラベルはセル C4 にあります。</t>
  </si>
  <si>
    <t>セル I5 から BL5 には、各日付のセルの上にあるセル ブロック内に表示される週の日付の数字が含まれており、自動的に計算が行われます。
これらのセルは変更しないでください。
今日の日付は、行 5 の今日の日付からプロジェクト スケジュールの最後まで日付列全体が赤 (16 進値 #AD3815) で囲まれます。</t>
  </si>
  <si>
    <t>この行には、その下に続くプロジェクトのスケジュールの見出しが含まれます。
コンテンツを読み上げるには、B6 から BL 6 に移動します。その見出しの上にある日付の各曜日の最初の文字が、セル I6 から始まってセル BL6 まで続きます。
すべてのプロジェクトのタイムライン グラフは、条件付き書式を使用して、入力された開始日と終了日に基づいて自動生成されます。
セル I7 から始まる列 I 以降の列のセルの内容を変更しないでください。</t>
  </si>
  <si>
    <t>セル B8 には、フェーズ 1 のサンプルのタイトルが含まれます。
セル B8 に新しいタイトルを入力します。
プロジェクトに該当する場合は、セル C8 にフェーズを割り当てる名前を入力します。
プロジェクトに該当する場合は、セル D8 にフェーズ全体の進捗状況を入力します。
プロジェクトに該当する場合は、フェーズ全体の開始日と終了日をセル E8 と F8 に入力します。
ガント チャートは自動的に適切な日付を入力し、入力した進捗状況に応じて網かけを設定します。
フェーズを削除してタスクからのみ作業をするには、この行を削除するだけです。</t>
  </si>
  <si>
    <t xml:space="preserve">セル B9 には、サンプル タスク "タスク 1" が含まれます。
セル B9 に、新しいタスク名を入力します。
セル C9 にタスクを割り当てるユーザーを入力します。
セル D9 のタスクの進捗状況を入力します。進行状況バーは、セル内に表示され、セルの数に従って網かけを適用します。たとえば、50% の進捗状況はセルの半分に網かけを設定します。
セル E9 にタスクの開始日を入力します。
セル F9 にタスクの終了日を入力します。
入力した日付の網かけのステータス バーは、セル I9 から始まる BL9 までのブロックに表示されます。 </t>
  </si>
  <si>
    <t>行 10 から 13 は、行 9 のパターンを繰り返します。
このワークシート内のすべてのタスク行に対し、セル A9 の手順を繰り返します。サンプル データはすべて上書きします。
別のフェーズのサンプルは、セル A14 から始まります。
セル A10 から A13 までにタスクの入力を続けるか、セル A14 に移動して詳細を確認します。</t>
  </si>
  <si>
    <t>右のセルには、フェーズ 2 のサンプルのタイトルが含まれます。
B 列に、いつでも新しいフェーズを作成できます。このプロジェクトのスケジュールには、フェーズは不要です。フェーズを削除するには、行を削除するだけです。
この行に新しいフェーズ ブロックを作成するには、右のセルに新しいタイトルを入力します。
上記のフェーズにタスクの追加を続けるには、この行の 1 つ上に新しい行を入力し、セル A9 の説明のようにタスク データを入力します。
セル A8 の説明に基づいて右側のセルのフェーズの詳細情報を更新します。
詳細については、A 列のセルを下に移動します。
このワークシートに新しい行を追加していない場合は、セル B20 と B26 に 2 つの追加のサンプル フェーズ ブロックが作成され表示されます。それ以外の場合、A 列のセルを移動して追加のブロックを探します。
必要に応じて、セル A8 と A9 の手順を繰り返します。</t>
  </si>
  <si>
    <t>サンプル フェーズ タイトル ブロック</t>
  </si>
  <si>
    <t>プロジェクト タイトル</t>
  </si>
  <si>
    <t>会社名</t>
  </si>
  <si>
    <t>プロジェクト主任</t>
  </si>
  <si>
    <t>タスク</t>
  </si>
  <si>
    <t>フェーズ 1 タイトル</t>
  </si>
  <si>
    <t>タスク 1</t>
  </si>
  <si>
    <t>タスク 2</t>
  </si>
  <si>
    <t>タスク 3</t>
  </si>
  <si>
    <t>タスク 4</t>
  </si>
  <si>
    <t>タスク 5</t>
  </si>
  <si>
    <t>フェーズ 2 タイトル</t>
  </si>
  <si>
    <t>フェーズ 3 タイトル</t>
  </si>
  <si>
    <t>プロジェクトの開始:</t>
  </si>
  <si>
    <t>週表示:</t>
  </si>
  <si>
    <t>進捗状況</t>
  </si>
  <si>
    <t>開始</t>
  </si>
  <si>
    <t>終了</t>
  </si>
  <si>
    <t>シンプル ガント チャート (Vertex42.com)</t>
  </si>
  <si>
    <t>https://www.vertex42.com/ExcelTemplates/simple-gantt-chart.html</t>
  </si>
  <si>
    <t>このテンプレートについて</t>
  </si>
  <si>
    <t>このテンプレートを使用すると、プロジェクトの視覚化と管理に役立つガント チャートを簡単な方法で作成できます。タスクと開始日、終了日を入力するだけです。数式の入力は必要はありません。ガント チャートのバーは、タスクの期間を表し、条件付き書式を使用して表示されます。新しいタスクを挿入するには、新しい行を挿入します。</t>
  </si>
  <si>
    <t>スクリーン リーダーのガイド</t>
  </si>
  <si>
    <t>その他のヘルプ</t>
  </si>
  <si>
    <t>以下のリンクから Vertex42.com にアクセスし、このテンプレートの使用方法を詳しく学びます。たとえば、日数と稼働日の計算、タスクの依存関係を作成する、バーの色の変更、週表示を簡単に変更するためのスクロール バーを追加する方法、グラフに表示される日付範囲の拡大方法など。</t>
  </si>
  <si>
    <t>シンプル ガント チャートの使用方法</t>
  </si>
  <si>
    <t>その他のプロジェクト管理テンプレート</t>
  </si>
  <si>
    <t>Vertex42.com にアクセスして、さまざまな種類のプロジェクト スケジュール、ガント チャート、タスク リストなどのその他のプロジェクト管理テンプレートをダウンロードしてください。</t>
  </si>
  <si>
    <t>プロジェクト管理テンプレート</t>
  </si>
  <si>
    <t>Vertex42 について</t>
  </si>
  <si>
    <t>Vertex42.com では、企業、家庭、教育用に 300 を超える本格的なデザインのスプレッドシート テンプレートを提供しています。この大部分は無料でダウンロードすることができます。Vertex42.com のコレクションには、各種のカレンダー、プランナー、スケジュールに加えて、予算作成、債務削減、ローン返済用の個人の財務に関するスプレッドシートも含まれています。</t>
  </si>
  <si>
    <t>企業向けには、請求書、タイム シート、在庫管理、財務諸表、プロジェクト計画策定テンプレートがあります。学生と教師向けには、授業計画表、成績表、出席簿などのリソースがあります。献立表、チェックリスト、運動記録を使用して家族の生活を整理しましょう。各テンプレートは、数千のユーザーからのフィードバックを基に時間をかけて十分に研究、調整、改良されたものです。</t>
  </si>
  <si>
    <t>担当者</t>
    <phoneticPr fontId="28"/>
  </si>
  <si>
    <t>このブックには 2 つのワークシートがあります。
タイムシート
詳細情報
各ワークシートの説明は、各ワークシートの A 列のセル A1 から始まります。非表示のテキストで書き込まれます。各手順では、その行に含まれる情報について説明しています。明示的な指示がない限り、後続の各手順はセル A2、セル A3 といった順に格納されています。たとえば、説明テキストに、次の手順について "セル A6 に続く" と記載されている場合があります。
この非表示のテキストは印刷されません。
ワークシートからこれらの説明を削除する場合は、A 列を削除するだけです。</t>
  </si>
  <si>
    <t>計画
日数</t>
    <rPh sb="0" eb="2">
      <t>ケイカク</t>
    </rPh>
    <phoneticPr fontId="28"/>
  </si>
  <si>
    <t>残り日数
見積</t>
    <rPh sb="0" eb="1">
      <t>ノコ</t>
    </rPh>
    <rPh sb="2" eb="4">
      <t>ニッスウ</t>
    </rPh>
    <rPh sb="5" eb="7">
      <t>ミツ</t>
    </rPh>
    <phoneticPr fontId="28"/>
  </si>
  <si>
    <t>計算</t>
    <rPh sb="0" eb="2">
      <t>ケイサン</t>
    </rPh>
    <phoneticPr fontId="2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</si>
</sst>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2" formatCode="_ &quot;¥&quot;* #,##0_ ;_ &quot;¥&quot;* \-#,##0_ ;_ &quot;¥&quot;* &quot;-&quot;_ ;_ @_ "/>
    <numFmt numFmtId="44" formatCode="_ &quot;¥&quot;* #,##0.00_ ;_ &quot;¥&quot;* \-#,##0.00_ ;_ &quot;¥&quot;* &quot;-&quot;??_ ;_ @_ "/>
    <numFmt numFmtId="176" formatCode="_(* #,##0_);_(* \(#,##0\);_(* &quot;-&quot;_);_(@_)"/>
    <numFmt numFmtId="177" formatCode="_(* #,##0.00_);_(* \(#,##0.00\);_(* &quot;-&quot;??_);_(@_)"/>
    <numFmt numFmtId="178" formatCode="m/d/yy;@"/>
    <numFmt numFmtId="179" formatCode="aaa\,\ yyyy/m/d"/>
    <numFmt numFmtId="180" formatCode="d"/>
    <numFmt numFmtId="181" formatCode="m&quot;月&quot;d&quot;日&quot;;@"/>
  </numFmts>
  <fonts count="44">
    <font>
      <sz val="11"/>
      <color theme="1"/>
      <name val="Meiryo UI"/>
      <family val="2"/>
    </font>
    <font>
      <sz val="11"/>
      <color theme="1"/>
      <name val="Meiryo UI"/>
      <family val="2"/>
    </font>
    <font>
      <sz val="11"/>
      <color theme="0"/>
      <name val="Meiryo UI"/>
      <family val="2"/>
    </font>
    <font>
      <sz val="11"/>
      <color rgb="FF9C0006"/>
      <name val="Meiryo UI"/>
      <family val="2"/>
    </font>
    <font>
      <b/>
      <sz val="11"/>
      <color rgb="FFFA7D00"/>
      <name val="Meiryo UI"/>
      <family val="2"/>
    </font>
    <font>
      <b/>
      <sz val="11"/>
      <color theme="0"/>
      <name val="Meiryo UI"/>
      <family val="2"/>
    </font>
    <font>
      <i/>
      <sz val="11"/>
      <color rgb="FF7F7F7F"/>
      <name val="Meiryo UI"/>
      <family val="2"/>
    </font>
    <font>
      <u/>
      <sz val="11"/>
      <color theme="11"/>
      <name val="Meiryo UI"/>
      <family val="2"/>
    </font>
    <font>
      <sz val="11"/>
      <color rgb="FF006100"/>
      <name val="Meiryo UI"/>
      <family val="2"/>
    </font>
    <font>
      <sz val="14"/>
      <color theme="1"/>
      <name val="Meiryo UI"/>
      <family val="2"/>
    </font>
    <font>
      <b/>
      <sz val="11"/>
      <color theme="3"/>
      <name val="Meiryo UI"/>
      <family val="2"/>
    </font>
    <font>
      <u/>
      <sz val="11"/>
      <color indexed="12"/>
      <name val="Meiryo UI"/>
      <family val="2"/>
    </font>
    <font>
      <sz val="11"/>
      <color rgb="FF3F3F76"/>
      <name val="Meiryo UI"/>
      <family val="2"/>
    </font>
    <font>
      <sz val="11"/>
      <color rgb="FFFA7D00"/>
      <name val="Meiryo UI"/>
      <family val="2"/>
    </font>
    <font>
      <sz val="11"/>
      <color rgb="FF9C5700"/>
      <name val="Meiryo UI"/>
      <family val="2"/>
    </font>
    <font>
      <b/>
      <sz val="11"/>
      <color rgb="FF3F3F3F"/>
      <name val="Meiryo UI"/>
      <family val="2"/>
    </font>
    <font>
      <b/>
      <sz val="22"/>
      <color theme="1" tint="0.34998626667073579"/>
      <name val="Meiryo UI"/>
      <family val="2"/>
    </font>
    <font>
      <b/>
      <sz val="11"/>
      <color theme="1"/>
      <name val="Meiryo UI"/>
      <family val="2"/>
    </font>
    <font>
      <sz val="11"/>
      <color rgb="FFFF0000"/>
      <name val="Meiryo UI"/>
      <family val="2"/>
    </font>
    <font>
      <b/>
      <sz val="20"/>
      <color theme="4" tint="-0.249977111117893"/>
      <name val="Meiryo UI"/>
      <family val="2"/>
    </font>
    <font>
      <sz val="10"/>
      <name val="Meiryo UI"/>
      <family val="2"/>
    </font>
    <font>
      <b/>
      <sz val="11"/>
      <name val="Meiryo UI"/>
      <family val="2"/>
    </font>
    <font>
      <sz val="9"/>
      <name val="Meiryo UI"/>
      <family val="2"/>
    </font>
    <font>
      <b/>
      <sz val="9"/>
      <color theme="0"/>
      <name val="Meiryo UI"/>
      <family val="2"/>
    </font>
    <font>
      <sz val="8"/>
      <color theme="0"/>
      <name val="Meiryo UI"/>
      <family val="2"/>
    </font>
    <font>
      <sz val="11"/>
      <name val="Meiryo UI"/>
      <family val="2"/>
    </font>
    <font>
      <sz val="10"/>
      <color theme="1" tint="0.499984740745262"/>
      <name val="Meiryo UI"/>
      <family val="2"/>
    </font>
    <font>
      <b/>
      <sz val="11"/>
      <color theme="1" tint="0.499984740745262"/>
      <name val="Meiryo UI"/>
      <family val="2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b/>
      <sz val="12"/>
      <color theme="1" tint="0.34998626667073579"/>
      <name val="Meiryo UI"/>
      <family val="3"/>
      <charset val="128"/>
    </font>
    <font>
      <b/>
      <sz val="10"/>
      <name val="Meiryo UI"/>
      <family val="3"/>
      <charset val="128"/>
    </font>
    <font>
      <sz val="11"/>
      <name val="Meiryo UI"/>
      <family val="3"/>
      <charset val="128"/>
    </font>
    <font>
      <sz val="11"/>
      <color theme="1" tint="0.499984740745262"/>
      <name val="Meiryo UI"/>
      <family val="3"/>
      <charset val="128"/>
    </font>
    <font>
      <b/>
      <sz val="16"/>
      <color theme="4" tint="-0.249977111117893"/>
      <name val="Meiryo UI"/>
      <family val="3"/>
      <charset val="128"/>
    </font>
    <font>
      <sz val="20"/>
      <name val="Meiryo UI"/>
      <family val="3"/>
      <charset val="128"/>
    </font>
    <font>
      <sz val="11"/>
      <color rgb="FF1D2129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1"/>
      <color indexed="12"/>
      <name val="Meiryo UI"/>
      <family val="3"/>
      <charset val="128"/>
    </font>
    <font>
      <sz val="9"/>
      <color theme="0" tint="-0.249977111117893"/>
      <name val="Meiryo UI"/>
      <family val="2"/>
    </font>
    <font>
      <b/>
      <sz val="9"/>
      <color theme="0" tint="-0.34998626667073579"/>
      <name val="Meiryo UI"/>
      <family val="2"/>
    </font>
    <font>
      <sz val="9"/>
      <color indexed="81"/>
      <name val="MS P ゴシック"/>
      <family val="3"/>
      <charset val="128"/>
    </font>
    <font>
      <b/>
      <sz val="11"/>
      <color theme="7"/>
      <name val="Meiryo UI"/>
      <family val="3"/>
      <charset val="128"/>
    </font>
    <font>
      <sz val="11"/>
      <color theme="7"/>
      <name val="Meiryo UI"/>
      <family val="3"/>
      <charset val="128"/>
    </font>
  </fonts>
  <fills count="4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34998626667073579"/>
        <bgColor theme="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theme="0" tint="-0.34998626667073579"/>
      </top>
      <bottom/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 tint="-0.14996795556505021"/>
      </top>
      <bottom style="medium">
        <color theme="0" tint="-0.14996795556505021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54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0" fontId="2" fillId="0" borderId="0"/>
    <xf numFmtId="177" fontId="1" fillId="0" borderId="3" applyFont="0" applyFill="0" applyAlignment="0" applyProtection="0"/>
    <xf numFmtId="0" fontId="16" fillId="0" borderId="0" applyNumberFormat="0" applyFill="0" applyBorder="0" applyAlignment="0" applyProtection="0"/>
    <xf numFmtId="0" fontId="9" fillId="0" borderId="0" applyNumberFormat="0" applyFill="0" applyAlignment="0" applyProtection="0"/>
    <xf numFmtId="0" fontId="9" fillId="0" borderId="0" applyNumberFormat="0" applyFill="0" applyProtection="0">
      <alignment vertical="top"/>
    </xf>
    <xf numFmtId="0" fontId="1" fillId="0" borderId="0" applyNumberFormat="0" applyFill="0" applyProtection="0">
      <alignment horizontal="right" indent="1"/>
    </xf>
    <xf numFmtId="179" fontId="1" fillId="0" borderId="3">
      <alignment horizontal="center" vertical="center"/>
    </xf>
    <xf numFmtId="178" fontId="1" fillId="0" borderId="2" applyFill="0">
      <alignment horizontal="center" vertical="center"/>
    </xf>
    <xf numFmtId="0" fontId="1" fillId="0" borderId="2" applyFill="0">
      <alignment horizontal="center" vertical="center"/>
    </xf>
    <xf numFmtId="0" fontId="1" fillId="0" borderId="2" applyFill="0">
      <alignment horizontal="left" vertical="center" indent="2"/>
    </xf>
    <xf numFmtId="0" fontId="7" fillId="0" borderId="0" applyNumberFormat="0" applyFill="0" applyBorder="0" applyAlignment="0" applyProtection="0"/>
    <xf numFmtId="176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8" fillId="11" borderId="0" applyNumberFormat="0" applyBorder="0" applyAlignment="0" applyProtection="0"/>
    <xf numFmtId="0" fontId="3" fillId="12" borderId="0" applyNumberFormat="0" applyBorder="0" applyAlignment="0" applyProtection="0"/>
    <xf numFmtId="0" fontId="14" fillId="13" borderId="0" applyNumberFormat="0" applyBorder="0" applyAlignment="0" applyProtection="0"/>
    <xf numFmtId="0" fontId="12" fillId="14" borderId="11" applyNumberFormat="0" applyAlignment="0" applyProtection="0"/>
    <xf numFmtId="0" fontId="15" fillId="15" borderId="12" applyNumberFormat="0" applyAlignment="0" applyProtection="0"/>
    <xf numFmtId="0" fontId="4" fillId="15" borderId="11" applyNumberFormat="0" applyAlignment="0" applyProtection="0"/>
    <xf numFmtId="0" fontId="13" fillId="0" borderId="13" applyNumberFormat="0" applyFill="0" applyAlignment="0" applyProtection="0"/>
    <xf numFmtId="0" fontId="5" fillId="16" borderId="14" applyNumberFormat="0" applyAlignment="0" applyProtection="0"/>
    <xf numFmtId="0" fontId="18" fillId="0" borderId="0" applyNumberFormat="0" applyFill="0" applyBorder="0" applyAlignment="0" applyProtection="0"/>
    <xf numFmtId="0" fontId="1" fillId="17" borderId="15" applyNumberFormat="0" applyFont="0" applyAlignment="0" applyProtection="0"/>
    <xf numFmtId="0" fontId="6" fillId="0" borderId="0" applyNumberFormat="0" applyFill="0" applyBorder="0" applyAlignment="0" applyProtection="0"/>
    <xf numFmtId="0" fontId="17" fillId="0" borderId="16" applyNumberFormat="0" applyFill="0" applyAlignment="0" applyProtection="0"/>
    <xf numFmtId="0" fontId="2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2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2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</cellStyleXfs>
  <cellXfs count="8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9" xfId="0" applyBorder="1" applyAlignment="1">
      <alignment horizontal="right" vertical="center"/>
    </xf>
    <xf numFmtId="0" fontId="2" fillId="0" borderId="0" xfId="3"/>
    <xf numFmtId="0" fontId="2" fillId="0" borderId="0" xfId="3" applyAlignment="1">
      <alignment wrapText="1"/>
    </xf>
    <xf numFmtId="0" fontId="16" fillId="0" borderId="0" xfId="5" applyAlignment="1">
      <alignment horizontal="left"/>
    </xf>
    <xf numFmtId="0" fontId="9" fillId="0" borderId="0" xfId="6"/>
    <xf numFmtId="0" fontId="9" fillId="0" borderId="0" xfId="7">
      <alignment vertical="top"/>
    </xf>
    <xf numFmtId="0" fontId="1" fillId="6" borderId="2" xfId="11" applyFill="1">
      <alignment horizontal="center" vertical="center"/>
    </xf>
    <xf numFmtId="0" fontId="1" fillId="2" borderId="2" xfId="11" applyFill="1">
      <alignment horizontal="center" vertical="center"/>
    </xf>
    <xf numFmtId="0" fontId="1" fillId="7" borderId="2" xfId="11" applyFill="1">
      <alignment horizontal="center" vertical="center"/>
    </xf>
    <xf numFmtId="0" fontId="1" fillId="3" borderId="2" xfId="11" applyFill="1">
      <alignment horizontal="center" vertical="center"/>
    </xf>
    <xf numFmtId="0" fontId="1" fillId="4" borderId="2" xfId="11" applyFill="1">
      <alignment horizontal="center" vertical="center"/>
    </xf>
    <xf numFmtId="0" fontId="1" fillId="8" borderId="2" xfId="11" applyFill="1">
      <alignment horizontal="center" vertical="center"/>
    </xf>
    <xf numFmtId="0" fontId="1" fillId="2" borderId="2" xfId="12" applyFill="1">
      <alignment horizontal="left" vertical="center" indent="2"/>
    </xf>
    <xf numFmtId="0" fontId="1" fillId="3" borderId="2" xfId="12" applyFill="1">
      <alignment horizontal="left" vertical="center" indent="2"/>
    </xf>
    <xf numFmtId="0" fontId="1" fillId="8" borderId="2" xfId="12" applyFill="1">
      <alignment horizontal="left" vertical="center" indent="2"/>
    </xf>
    <xf numFmtId="0" fontId="0" fillId="0" borderId="10" xfId="0" applyBorder="1"/>
    <xf numFmtId="0" fontId="19" fillId="0" borderId="0" xfId="0" applyFont="1" applyAlignment="1">
      <alignment horizontal="left"/>
    </xf>
    <xf numFmtId="0" fontId="20" fillId="0" borderId="0" xfId="0" applyFont="1"/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center" vertical="center"/>
    </xf>
    <xf numFmtId="0" fontId="21" fillId="0" borderId="0" xfId="0" applyFont="1"/>
    <xf numFmtId="0" fontId="20" fillId="0" borderId="0" xfId="1" applyFont="1" applyProtection="1">
      <alignment vertical="top"/>
    </xf>
    <xf numFmtId="0" fontId="23" fillId="10" borderId="1" xfId="0" applyFont="1" applyFill="1" applyBorder="1" applyAlignment="1">
      <alignment horizontal="left" vertical="center" indent="1"/>
    </xf>
    <xf numFmtId="0" fontId="23" fillId="10" borderId="1" xfId="0" applyFont="1" applyFill="1" applyBorder="1" applyAlignment="1">
      <alignment horizontal="center" vertical="center" wrapText="1"/>
    </xf>
    <xf numFmtId="0" fontId="24" fillId="9" borderId="8" xfId="0" applyFont="1" applyFill="1" applyBorder="1" applyAlignment="1">
      <alignment horizontal="center" vertical="center" shrinkToFit="1"/>
    </xf>
    <xf numFmtId="0" fontId="17" fillId="6" borderId="2" xfId="0" applyFont="1" applyFill="1" applyBorder="1" applyAlignment="1">
      <alignment horizontal="left" vertical="center" indent="1"/>
    </xf>
    <xf numFmtId="0" fontId="25" fillId="0" borderId="2" xfId="0" applyFont="1" applyBorder="1" applyAlignment="1">
      <alignment horizontal="center" vertical="center"/>
    </xf>
    <xf numFmtId="0" fontId="17" fillId="7" borderId="2" xfId="0" applyFont="1" applyFill="1" applyBorder="1" applyAlignment="1">
      <alignment horizontal="left" vertical="center" indent="1"/>
    </xf>
    <xf numFmtId="0" fontId="17" fillId="4" borderId="2" xfId="0" applyFont="1" applyFill="1" applyBorder="1" applyAlignment="1">
      <alignment horizontal="left" vertical="center" indent="1"/>
    </xf>
    <xf numFmtId="0" fontId="27" fillId="0" borderId="0" xfId="0" applyFont="1"/>
    <xf numFmtId="0" fontId="2" fillId="0" borderId="0" xfId="0" applyFont="1" applyAlignment="1">
      <alignment horizontal="center"/>
    </xf>
    <xf numFmtId="0" fontId="26" fillId="0" borderId="0" xfId="1" applyFont="1" applyAlignment="1" applyProtection="1"/>
    <xf numFmtId="0" fontId="29" fillId="0" borderId="0" xfId="0" applyFont="1" applyAlignment="1">
      <alignment vertical="top"/>
    </xf>
    <xf numFmtId="0" fontId="29" fillId="0" borderId="0" xfId="0" applyFont="1"/>
    <xf numFmtId="0" fontId="30" fillId="0" borderId="0" xfId="0" applyFont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2" fillId="0" borderId="0" xfId="0" applyFont="1" applyAlignment="1">
      <alignment vertical="top"/>
    </xf>
    <xf numFmtId="0" fontId="33" fillId="0" borderId="0" xfId="0" applyFont="1" applyAlignment="1">
      <alignment vertical="top"/>
    </xf>
    <xf numFmtId="0" fontId="29" fillId="0" borderId="0" xfId="0" applyFont="1" applyAlignment="1">
      <alignment horizontal="left" vertical="top"/>
    </xf>
    <xf numFmtId="0" fontId="34" fillId="0" borderId="0" xfId="0" applyFont="1" applyAlignment="1">
      <alignment vertical="center"/>
    </xf>
    <xf numFmtId="0" fontId="35" fillId="0" borderId="0" xfId="0" applyFont="1"/>
    <xf numFmtId="0" fontId="36" fillId="0" borderId="0" xfId="0" applyFont="1" applyAlignment="1">
      <alignment horizontal="left" vertical="top" wrapText="1" indent="1"/>
    </xf>
    <xf numFmtId="0" fontId="37" fillId="0" borderId="0" xfId="0" applyFont="1" applyAlignment="1">
      <alignment vertical="top" wrapText="1"/>
    </xf>
    <xf numFmtId="0" fontId="38" fillId="0" borderId="0" xfId="1" applyFont="1" applyAlignment="1" applyProtection="1">
      <alignment horizontal="left" vertical="top"/>
    </xf>
    <xf numFmtId="180" fontId="22" fillId="5" borderId="6" xfId="0" applyNumberFormat="1" applyFont="1" applyFill="1" applyBorder="1" applyAlignment="1">
      <alignment horizontal="center" vertical="center"/>
    </xf>
    <xf numFmtId="180" fontId="22" fillId="5" borderId="0" xfId="0" applyNumberFormat="1" applyFont="1" applyFill="1" applyAlignment="1">
      <alignment horizontal="center" vertical="center"/>
    </xf>
    <xf numFmtId="180" fontId="22" fillId="5" borderId="7" xfId="0" applyNumberFormat="1" applyFont="1" applyFill="1" applyBorder="1" applyAlignment="1">
      <alignment horizontal="center" vertical="center"/>
    </xf>
    <xf numFmtId="0" fontId="0" fillId="42" borderId="17" xfId="0" applyFill="1" applyBorder="1"/>
    <xf numFmtId="14" fontId="0" fillId="0" borderId="0" xfId="0" applyNumberFormat="1"/>
    <xf numFmtId="0" fontId="39" fillId="0" borderId="2" xfId="0" applyFont="1" applyBorder="1" applyAlignment="1">
      <alignment horizontal="center" vertical="center"/>
    </xf>
    <xf numFmtId="0" fontId="40" fillId="10" borderId="0" xfId="0" applyFont="1" applyFill="1" applyBorder="1" applyAlignment="1">
      <alignment horizontal="center" vertical="center" wrapText="1"/>
    </xf>
    <xf numFmtId="0" fontId="25" fillId="0" borderId="0" xfId="0" applyFont="1" applyBorder="1" applyAlignment="1">
      <alignment horizontal="center" vertical="center"/>
    </xf>
    <xf numFmtId="0" fontId="39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1" fillId="0" borderId="0" xfId="8">
      <alignment horizontal="right" indent="1"/>
    </xf>
    <xf numFmtId="0" fontId="1" fillId="0" borderId="7" xfId="8" applyBorder="1">
      <alignment horizontal="right" indent="1"/>
    </xf>
    <xf numFmtId="14" fontId="0" fillId="5" borderId="4" xfId="0" applyNumberFormat="1" applyFill="1" applyBorder="1" applyAlignment="1">
      <alignment horizontal="left" vertical="center" wrapText="1" indent="1"/>
    </xf>
    <xf numFmtId="14" fontId="0" fillId="5" borderId="1" xfId="0" applyNumberFormat="1" applyFill="1" applyBorder="1" applyAlignment="1">
      <alignment horizontal="left" vertical="center" wrapText="1" indent="1"/>
    </xf>
    <xf numFmtId="14" fontId="0" fillId="5" borderId="5" xfId="0" applyNumberFormat="1" applyFill="1" applyBorder="1" applyAlignment="1">
      <alignment horizontal="left" vertical="center" wrapText="1" indent="1"/>
    </xf>
    <xf numFmtId="179" fontId="1" fillId="0" borderId="3" xfId="9">
      <alignment horizontal="center" vertical="center"/>
    </xf>
    <xf numFmtId="9" fontId="42" fillId="6" borderId="2" xfId="2" applyFont="1" applyFill="1" applyBorder="1" applyAlignment="1">
      <alignment horizontal="center" vertical="center"/>
    </xf>
    <xf numFmtId="181" fontId="42" fillId="6" borderId="2" xfId="0" applyNumberFormat="1" applyFont="1" applyFill="1" applyBorder="1" applyAlignment="1">
      <alignment horizontal="center" vertical="center"/>
    </xf>
    <xf numFmtId="9" fontId="43" fillId="2" borderId="2" xfId="2" applyFont="1" applyFill="1" applyBorder="1" applyAlignment="1">
      <alignment horizontal="center" vertical="center"/>
    </xf>
    <xf numFmtId="181" fontId="43" fillId="2" borderId="2" xfId="10" applyNumberFormat="1" applyFont="1" applyFill="1">
      <alignment horizontal="center" vertical="center"/>
    </xf>
    <xf numFmtId="0" fontId="42" fillId="0" borderId="2" xfId="0" applyFont="1" applyBorder="1" applyAlignment="1">
      <alignment horizontal="center" vertical="center"/>
    </xf>
    <xf numFmtId="9" fontId="42" fillId="7" borderId="2" xfId="2" applyFont="1" applyFill="1" applyBorder="1" applyAlignment="1">
      <alignment horizontal="center" vertical="center"/>
    </xf>
    <xf numFmtId="181" fontId="42" fillId="7" borderId="2" xfId="11" applyNumberFormat="1" applyFont="1" applyFill="1">
      <alignment horizontal="center" vertical="center"/>
    </xf>
    <xf numFmtId="9" fontId="43" fillId="3" borderId="2" xfId="2" applyFont="1" applyFill="1" applyBorder="1" applyAlignment="1">
      <alignment horizontal="center" vertical="center"/>
    </xf>
    <xf numFmtId="181" fontId="43" fillId="3" borderId="2" xfId="10" applyNumberFormat="1" applyFont="1" applyFill="1">
      <alignment horizontal="center" vertical="center"/>
    </xf>
    <xf numFmtId="9" fontId="42" fillId="4" borderId="2" xfId="2" applyFont="1" applyFill="1" applyBorder="1" applyAlignment="1">
      <alignment horizontal="center" vertical="center"/>
    </xf>
    <xf numFmtId="181" fontId="42" fillId="4" borderId="2" xfId="11" applyNumberFormat="1" applyFont="1" applyFill="1">
      <alignment horizontal="center" vertical="center"/>
    </xf>
    <xf numFmtId="9" fontId="43" fillId="8" borderId="2" xfId="2" applyFont="1" applyFill="1" applyBorder="1" applyAlignment="1">
      <alignment horizontal="center" vertical="center"/>
    </xf>
    <xf numFmtId="181" fontId="43" fillId="8" borderId="2" xfId="10" applyNumberFormat="1" applyFont="1" applyFill="1">
      <alignment horizontal="center" vertical="center"/>
    </xf>
    <xf numFmtId="9" fontId="43" fillId="8" borderId="0" xfId="2" applyFont="1" applyFill="1" applyBorder="1" applyAlignment="1">
      <alignment horizontal="center" vertical="center"/>
    </xf>
  </cellXfs>
  <cellStyles count="54">
    <cellStyle name="20% - アクセント 1" xfId="31" builtinId="30" customBuiltin="1"/>
    <cellStyle name="20% - アクセント 2" xfId="35" builtinId="34" customBuiltin="1"/>
    <cellStyle name="20% - アクセント 3" xfId="39" builtinId="38" customBuiltin="1"/>
    <cellStyle name="20% - アクセント 4" xfId="43" builtinId="42" customBuiltin="1"/>
    <cellStyle name="20% - アクセント 5" xfId="47" builtinId="46" customBuiltin="1"/>
    <cellStyle name="20% - アクセント 6" xfId="51" builtinId="50" customBuiltin="1"/>
    <cellStyle name="40% - アクセント 1" xfId="32" builtinId="31" customBuiltin="1"/>
    <cellStyle name="40% - アクセント 2" xfId="36" builtinId="35" customBuiltin="1"/>
    <cellStyle name="40% - アクセント 3" xfId="40" builtinId="39" customBuiltin="1"/>
    <cellStyle name="40% - アクセント 4" xfId="44" builtinId="43" customBuiltin="1"/>
    <cellStyle name="40% - アクセント 5" xfId="48" builtinId="47" customBuiltin="1"/>
    <cellStyle name="40% - アクセント 6" xfId="52" builtinId="51" customBuiltin="1"/>
    <cellStyle name="60% - アクセント 1" xfId="33" builtinId="32" customBuiltin="1"/>
    <cellStyle name="60% - アクセント 2" xfId="37" builtinId="36" customBuiltin="1"/>
    <cellStyle name="60% - アクセント 3" xfId="41" builtinId="40" customBuiltin="1"/>
    <cellStyle name="60% - アクセント 4" xfId="45" builtinId="44" customBuiltin="1"/>
    <cellStyle name="60% - アクセント 5" xfId="49" builtinId="48" customBuiltin="1"/>
    <cellStyle name="60% - アクセント 6" xfId="53" builtinId="52" customBuiltin="1"/>
    <cellStyle name="z_非表示_テキスト" xfId="3"/>
    <cellStyle name="アクセント 1" xfId="30" builtinId="29" customBuiltin="1"/>
    <cellStyle name="アクセント 2" xfId="34" builtinId="33" customBuiltin="1"/>
    <cellStyle name="アクセント 3" xfId="38" builtinId="37" customBuiltin="1"/>
    <cellStyle name="アクセント 4" xfId="42" builtinId="41" customBuiltin="1"/>
    <cellStyle name="アクセント 5" xfId="46" builtinId="45" customBuiltin="1"/>
    <cellStyle name="アクセント 6" xfId="50" builtinId="49" customBuiltin="1"/>
    <cellStyle name="タイトル" xfId="5" builtinId="15" customBuiltin="1"/>
    <cellStyle name="タスク" xfId="12"/>
    <cellStyle name="チェック セル" xfId="25" builtinId="23" customBuiltin="1"/>
    <cellStyle name="どちらでもない" xfId="20" builtinId="28" customBuiltin="1"/>
    <cellStyle name="パーセント" xfId="2" builtinId="5" customBuiltin="1"/>
    <cellStyle name="ハイパーリンク" xfId="1" builtinId="8" customBuiltin="1"/>
    <cellStyle name="プロジェクトの開始" xfId="9"/>
    <cellStyle name="メモ" xfId="27" builtinId="10" customBuiltin="1"/>
    <cellStyle name="リンク セル" xfId="24" builtinId="24" customBuiltin="1"/>
    <cellStyle name="悪い" xfId="19" builtinId="27" customBuiltin="1"/>
    <cellStyle name="計算" xfId="23" builtinId="22" customBuiltin="1"/>
    <cellStyle name="警告文" xfId="26" builtinId="11" customBuiltin="1"/>
    <cellStyle name="桁区切り" xfId="14" builtinId="6" customBuiltin="1"/>
    <cellStyle name="桁区切り [0.00]" xfId="4" builtinId="3" customBuiltin="1"/>
    <cellStyle name="見出し 1" xfId="6" builtinId="16" customBuiltin="1"/>
    <cellStyle name="見出し 2" xfId="7" builtinId="17" customBuiltin="1"/>
    <cellStyle name="見出し 3" xfId="8" builtinId="18" customBuiltin="1"/>
    <cellStyle name="見出し 4" xfId="17" builtinId="19" customBuiltin="1"/>
    <cellStyle name="集計" xfId="29" builtinId="25" customBuiltin="1"/>
    <cellStyle name="出力" xfId="22" builtinId="21" customBuiltin="1"/>
    <cellStyle name="説明文" xfId="28" builtinId="53" customBuiltin="1"/>
    <cellStyle name="通貨" xfId="16" builtinId="7" customBuiltin="1"/>
    <cellStyle name="通貨 [0.00]" xfId="15" builtinId="4" customBuiltin="1"/>
    <cellStyle name="日付" xfId="10"/>
    <cellStyle name="入力" xfId="21" builtinId="20" customBuiltin="1"/>
    <cellStyle name="標準" xfId="0" builtinId="0" customBuiltin="1"/>
    <cellStyle name="表示済みのハイパーリンク" xfId="13" builtinId="9" customBuiltin="1"/>
    <cellStyle name="名前" xfId="11"/>
    <cellStyle name="良い" xfId="18" builtinId="26" customBuiltin="1"/>
  </cellStyles>
  <dxfs count="13">
    <dxf>
      <fill>
        <patternFill>
          <bgColor theme="7"/>
        </patternFill>
      </fill>
      <border>
        <left/>
        <right/>
      </border>
    </dxf>
    <dxf>
      <fill>
        <patternFill>
          <bgColor theme="0" tint="-0.34998626667073579"/>
        </patternFill>
      </fill>
    </dxf>
    <dxf>
      <fill>
        <patternFill patternType="lightUp">
          <fgColor theme="0" tint="-0.499984740745262"/>
        </patternFill>
      </fill>
    </dxf>
    <dxf>
      <border>
        <left style="thin">
          <color rgb="FFC00000"/>
        </left>
        <right style="thin">
          <color rgb="FFC00000"/>
        </right>
        <vertical/>
        <horizontal/>
      </border>
    </dxf>
    <dxf>
      <border>
        <left style="thin">
          <color theme="0" tint="-0.24994659260841701"/>
        </left>
      </border>
    </dxf>
    <dxf>
      <border>
        <left style="thin">
          <color theme="0" tint="-0.24994659260841701"/>
        </left>
      </border>
    </dxf>
    <dxf>
      <border>
        <top style="thin">
          <color theme="4" tint="0.39994506668294322"/>
        </top>
      </border>
    </dxf>
    <dxf>
      <fill>
        <patternFill>
          <bgColor theme="0" tint="-4.9989318521683403E-2"/>
        </patternFill>
      </fill>
      <border>
        <top style="thin">
          <color theme="4" tint="0.39994506668294322"/>
        </top>
      </border>
    </dxf>
    <dxf>
      <font>
        <b/>
        <color theme="1"/>
      </font>
    </dxf>
    <dxf>
      <font>
        <b val="0"/>
        <i val="0"/>
        <color theme="1"/>
      </font>
      <border>
        <left style="thin">
          <color theme="4"/>
        </left>
      </border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</dxfs>
  <tableStyles count="1" defaultTableStyle="TableStyleMedium2" defaultPivotStyle="PivotStyleLight16">
    <tableStyle name="作業リスト" pivot="0" count="9">
      <tableStyleElement type="wholeTable" dxfId="12"/>
      <tableStyleElement type="headerRow" dxfId="11"/>
      <tableStyleElement type="totalRow" dxfId="10"/>
      <tableStyleElement type="firstColumn" dxfId="9"/>
      <tableStyleElement type="lastColumn" dxfId="8"/>
      <tableStyleElement type="firstRowStripe" dxfId="7"/>
      <tableStyleElement type="secondRowStripe" dxfId="6"/>
      <tableStyleElement type="firstColumnStripe" dxfId="5"/>
      <tableStyleElement type="secondColumnStripe" dxfId="4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F0F0F0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  <mruColors>
      <color rgb="FF215881"/>
      <color rgb="FF42648A"/>
      <color rgb="FF969696"/>
      <color rgb="FFC0C0C0"/>
      <color rgb="FF427FC2"/>
      <color rgb="FF44678E"/>
      <color rgb="FF4A6F9C"/>
      <color rgb="FF3969AD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vertex42.com/ExcelTemplates/simple-gantt-chart.html?utm_source=ms&amp;utm_medium=file&amp;utm_campaign=office&amp;utm_content=log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95250</xdr:rowOff>
    </xdr:from>
    <xdr:to>
      <xdr:col>0</xdr:col>
      <xdr:colOff>1905000</xdr:colOff>
      <xdr:row>0</xdr:row>
      <xdr:rowOff>523875</xdr:rowOff>
    </xdr:to>
    <xdr:pic>
      <xdr:nvPicPr>
        <xdr:cNvPr id="2" name="画像 1" descr="Vertex42 ロゴ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8638EF3-2DAE-40BC-A45A-2B8C536FA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95250"/>
          <a:ext cx="1905000" cy="4286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vertex42.com/ExcelTemplates/simple-gantt-chart.html?utm_source=ms&amp;utm_medium=file&amp;utm_campaign=office&amp;utm_content=text" TargetMode="External"/><Relationship Id="rId1" Type="http://schemas.openxmlformats.org/officeDocument/2006/relationships/hyperlink" Target="https://www.vertex42.com/ExcelTemplates/simple-gantt-chart.html?utm_source=ms&amp;utm_medium=file&amp;utm_campaign=office&amp;utm_content=url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vertex42.com/ExcelTemplates/simple-gantt-chart.html?utm_source=ms&amp;utm_medium=file&amp;utm_campaign=office&amp;utm_content=url" TargetMode="External"/><Relationship Id="rId2" Type="http://schemas.openxmlformats.org/officeDocument/2006/relationships/hyperlink" Target="https://www.vertex42.com/ExcelTemplates/simple-gantt-chart.html?utm_source=ms&amp;utm_medium=file&amp;utm_campaign=office&amp;utm_content=help" TargetMode="External"/><Relationship Id="rId1" Type="http://schemas.openxmlformats.org/officeDocument/2006/relationships/hyperlink" Target="https://www.vertex42.com/ExcelTemplates/excel-project-management.html?utm_source=ms&amp;utm_medium=file&amp;utm_campaign=office&amp;utm_content=text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www.vertex42.com/ExcelTemplates/simple-gantt-chart.html?utm_source=ms&amp;utm_medium=file&amp;utm_campaign=office&amp;utm_content=tex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BM30"/>
  <sheetViews>
    <sheetView showGridLines="0" tabSelected="1" showRuler="0" zoomScaleNormal="100" zoomScalePageLayoutView="70" workbookViewId="0">
      <pane ySplit="6" topLeftCell="A7" activePane="bottomLeft" state="frozen"/>
      <selection pane="bottomLeft" activeCell="E21" sqref="E21"/>
    </sheetView>
  </sheetViews>
  <sheetFormatPr defaultRowHeight="30" customHeight="1"/>
  <cols>
    <col min="1" max="1" width="2.5546875" style="7" customWidth="1"/>
    <col min="2" max="2" width="39.88671875" customWidth="1"/>
    <col min="3" max="3" width="7.33203125" customWidth="1"/>
    <col min="4" max="4" width="10.5546875" customWidth="1"/>
    <col min="5" max="5" width="10.21875" style="2" customWidth="1"/>
    <col min="6" max="6" width="10.21875" customWidth="1"/>
    <col min="7" max="7" width="6.33203125" customWidth="1"/>
    <col min="8" max="8" width="6.21875" customWidth="1"/>
    <col min="9" max="9" width="2.88671875" customWidth="1"/>
    <col min="10" max="65" width="2.44140625" customWidth="1"/>
    <col min="67" max="69" width="7.21875"/>
    <col min="70" max="71" width="8.44140625"/>
  </cols>
  <sheetData>
    <row r="1" spans="1:65" ht="30" customHeight="1">
      <c r="A1" s="8" t="s">
        <v>0</v>
      </c>
      <c r="B1" s="9" t="s">
        <v>11</v>
      </c>
      <c r="C1" s="22"/>
      <c r="D1" s="23"/>
      <c r="E1" s="24"/>
      <c r="F1" s="25"/>
      <c r="H1" s="23"/>
      <c r="I1" s="23"/>
      <c r="J1" s="26" t="s">
        <v>28</v>
      </c>
    </row>
    <row r="2" spans="1:65" ht="30" customHeight="1">
      <c r="A2" s="7" t="s">
        <v>1</v>
      </c>
      <c r="B2" s="10" t="s">
        <v>12</v>
      </c>
      <c r="J2" s="27" t="s">
        <v>29</v>
      </c>
    </row>
    <row r="3" spans="1:65" ht="30" customHeight="1">
      <c r="A3" s="7" t="s">
        <v>2</v>
      </c>
      <c r="B3" s="11" t="s">
        <v>13</v>
      </c>
      <c r="C3" s="60" t="s">
        <v>23</v>
      </c>
      <c r="D3" s="61"/>
      <c r="E3" s="65">
        <f ca="1">TODAY()</f>
        <v>45182</v>
      </c>
      <c r="F3" s="65"/>
    </row>
    <row r="4" spans="1:65" ht="30" customHeight="1">
      <c r="A4" s="8" t="s">
        <v>3</v>
      </c>
      <c r="C4" s="60" t="s">
        <v>24</v>
      </c>
      <c r="D4" s="61"/>
      <c r="E4" s="4">
        <v>1</v>
      </c>
      <c r="J4" s="62">
        <f ca="1">J5</f>
        <v>45180</v>
      </c>
      <c r="K4" s="63"/>
      <c r="L4" s="63"/>
      <c r="M4" s="63"/>
      <c r="N4" s="63"/>
      <c r="O4" s="63"/>
      <c r="P4" s="64"/>
      <c r="Q4" s="62">
        <f ca="1">Q5</f>
        <v>45187</v>
      </c>
      <c r="R4" s="63"/>
      <c r="S4" s="63"/>
      <c r="T4" s="63"/>
      <c r="U4" s="63"/>
      <c r="V4" s="63"/>
      <c r="W4" s="64"/>
      <c r="X4" s="62">
        <f ca="1">X5</f>
        <v>45194</v>
      </c>
      <c r="Y4" s="63"/>
      <c r="Z4" s="63"/>
      <c r="AA4" s="63"/>
      <c r="AB4" s="63"/>
      <c r="AC4" s="63"/>
      <c r="AD4" s="64"/>
      <c r="AE4" s="62">
        <f ca="1">AE5</f>
        <v>45201</v>
      </c>
      <c r="AF4" s="63"/>
      <c r="AG4" s="63"/>
      <c r="AH4" s="63"/>
      <c r="AI4" s="63"/>
      <c r="AJ4" s="63"/>
      <c r="AK4" s="64"/>
      <c r="AL4" s="62">
        <f ca="1">AL5</f>
        <v>45208</v>
      </c>
      <c r="AM4" s="63"/>
      <c r="AN4" s="63"/>
      <c r="AO4" s="63"/>
      <c r="AP4" s="63"/>
      <c r="AQ4" s="63"/>
      <c r="AR4" s="64"/>
      <c r="AS4" s="62">
        <f ca="1">AS5</f>
        <v>45215</v>
      </c>
      <c r="AT4" s="63"/>
      <c r="AU4" s="63"/>
      <c r="AV4" s="63"/>
      <c r="AW4" s="63"/>
      <c r="AX4" s="63"/>
      <c r="AY4" s="64"/>
      <c r="AZ4" s="62">
        <f ca="1">AZ5</f>
        <v>45222</v>
      </c>
      <c r="BA4" s="63"/>
      <c r="BB4" s="63"/>
      <c r="BC4" s="63"/>
      <c r="BD4" s="63"/>
      <c r="BE4" s="63"/>
      <c r="BF4" s="64"/>
      <c r="BG4" s="62">
        <f ca="1">BG5</f>
        <v>45229</v>
      </c>
      <c r="BH4" s="63"/>
      <c r="BI4" s="63"/>
      <c r="BJ4" s="63"/>
      <c r="BK4" s="63"/>
      <c r="BL4" s="63"/>
      <c r="BM4" s="64"/>
    </row>
    <row r="5" spans="1:65" ht="15" customHeight="1">
      <c r="A5" s="8" t="s">
        <v>4</v>
      </c>
      <c r="B5" s="21"/>
      <c r="C5" s="21"/>
      <c r="D5" s="21"/>
      <c r="E5" s="21"/>
      <c r="F5" s="21"/>
      <c r="G5" s="21"/>
      <c r="J5" s="50">
        <f ca="1">プロジェクトの開始-WEEKDAY(プロジェクトの開始,1)+2+7*(週表示-1)</f>
        <v>45180</v>
      </c>
      <c r="K5" s="51">
        <f ca="1">J5+1</f>
        <v>45181</v>
      </c>
      <c r="L5" s="51">
        <f t="shared" ref="L5:AY5" ca="1" si="0">K5+1</f>
        <v>45182</v>
      </c>
      <c r="M5" s="51">
        <f t="shared" ca="1" si="0"/>
        <v>45183</v>
      </c>
      <c r="N5" s="51">
        <f t="shared" ca="1" si="0"/>
        <v>45184</v>
      </c>
      <c r="O5" s="51">
        <f t="shared" ca="1" si="0"/>
        <v>45185</v>
      </c>
      <c r="P5" s="52">
        <f t="shared" ca="1" si="0"/>
        <v>45186</v>
      </c>
      <c r="Q5" s="50">
        <f ca="1">P5+1</f>
        <v>45187</v>
      </c>
      <c r="R5" s="51">
        <f ca="1">Q5+1</f>
        <v>45188</v>
      </c>
      <c r="S5" s="51">
        <f t="shared" ca="1" si="0"/>
        <v>45189</v>
      </c>
      <c r="T5" s="51">
        <f t="shared" ca="1" si="0"/>
        <v>45190</v>
      </c>
      <c r="U5" s="51">
        <f t="shared" ca="1" si="0"/>
        <v>45191</v>
      </c>
      <c r="V5" s="51">
        <f t="shared" ca="1" si="0"/>
        <v>45192</v>
      </c>
      <c r="W5" s="52">
        <f t="shared" ca="1" si="0"/>
        <v>45193</v>
      </c>
      <c r="X5" s="50">
        <f ca="1">W5+1</f>
        <v>45194</v>
      </c>
      <c r="Y5" s="51">
        <f ca="1">X5+1</f>
        <v>45195</v>
      </c>
      <c r="Z5" s="51">
        <f t="shared" ca="1" si="0"/>
        <v>45196</v>
      </c>
      <c r="AA5" s="51">
        <f t="shared" ca="1" si="0"/>
        <v>45197</v>
      </c>
      <c r="AB5" s="51">
        <f t="shared" ca="1" si="0"/>
        <v>45198</v>
      </c>
      <c r="AC5" s="51">
        <f t="shared" ca="1" si="0"/>
        <v>45199</v>
      </c>
      <c r="AD5" s="52">
        <f t="shared" ca="1" si="0"/>
        <v>45200</v>
      </c>
      <c r="AE5" s="50">
        <f ca="1">AD5+1</f>
        <v>45201</v>
      </c>
      <c r="AF5" s="51">
        <f ca="1">AE5+1</f>
        <v>45202</v>
      </c>
      <c r="AG5" s="51">
        <f t="shared" ca="1" si="0"/>
        <v>45203</v>
      </c>
      <c r="AH5" s="51">
        <f t="shared" ca="1" si="0"/>
        <v>45204</v>
      </c>
      <c r="AI5" s="51">
        <f t="shared" ca="1" si="0"/>
        <v>45205</v>
      </c>
      <c r="AJ5" s="51">
        <f t="shared" ca="1" si="0"/>
        <v>45206</v>
      </c>
      <c r="AK5" s="52">
        <f t="shared" ca="1" si="0"/>
        <v>45207</v>
      </c>
      <c r="AL5" s="50">
        <f ca="1">AK5+1</f>
        <v>45208</v>
      </c>
      <c r="AM5" s="51">
        <f ca="1">AL5+1</f>
        <v>45209</v>
      </c>
      <c r="AN5" s="51">
        <f t="shared" ca="1" si="0"/>
        <v>45210</v>
      </c>
      <c r="AO5" s="51">
        <f t="shared" ca="1" si="0"/>
        <v>45211</v>
      </c>
      <c r="AP5" s="51">
        <f t="shared" ca="1" si="0"/>
        <v>45212</v>
      </c>
      <c r="AQ5" s="51">
        <f t="shared" ca="1" si="0"/>
        <v>45213</v>
      </c>
      <c r="AR5" s="52">
        <f t="shared" ca="1" si="0"/>
        <v>45214</v>
      </c>
      <c r="AS5" s="50">
        <f ca="1">AR5+1</f>
        <v>45215</v>
      </c>
      <c r="AT5" s="51">
        <f ca="1">AS5+1</f>
        <v>45216</v>
      </c>
      <c r="AU5" s="51">
        <f t="shared" ca="1" si="0"/>
        <v>45217</v>
      </c>
      <c r="AV5" s="51">
        <f t="shared" ca="1" si="0"/>
        <v>45218</v>
      </c>
      <c r="AW5" s="51">
        <f t="shared" ca="1" si="0"/>
        <v>45219</v>
      </c>
      <c r="AX5" s="51">
        <f t="shared" ca="1" si="0"/>
        <v>45220</v>
      </c>
      <c r="AY5" s="52">
        <f t="shared" ca="1" si="0"/>
        <v>45221</v>
      </c>
      <c r="AZ5" s="50">
        <f ca="1">AY5+1</f>
        <v>45222</v>
      </c>
      <c r="BA5" s="51">
        <f ca="1">AZ5+1</f>
        <v>45223</v>
      </c>
      <c r="BB5" s="51">
        <f t="shared" ref="BB5:BF5" ca="1" si="1">BA5+1</f>
        <v>45224</v>
      </c>
      <c r="BC5" s="51">
        <f t="shared" ca="1" si="1"/>
        <v>45225</v>
      </c>
      <c r="BD5" s="51">
        <f t="shared" ca="1" si="1"/>
        <v>45226</v>
      </c>
      <c r="BE5" s="51">
        <f t="shared" ca="1" si="1"/>
        <v>45227</v>
      </c>
      <c r="BF5" s="52">
        <f t="shared" ca="1" si="1"/>
        <v>45228</v>
      </c>
      <c r="BG5" s="50">
        <f ca="1">BF5+1</f>
        <v>45229</v>
      </c>
      <c r="BH5" s="51">
        <f ca="1">BG5+1</f>
        <v>45230</v>
      </c>
      <c r="BI5" s="51">
        <f t="shared" ref="BI5:BM5" ca="1" si="2">BH5+1</f>
        <v>45231</v>
      </c>
      <c r="BJ5" s="51">
        <f t="shared" ca="1" si="2"/>
        <v>45232</v>
      </c>
      <c r="BK5" s="51">
        <f t="shared" ca="1" si="2"/>
        <v>45233</v>
      </c>
      <c r="BL5" s="51">
        <f t="shared" ca="1" si="2"/>
        <v>45234</v>
      </c>
      <c r="BM5" s="52">
        <f t="shared" ca="1" si="2"/>
        <v>45235</v>
      </c>
    </row>
    <row r="6" spans="1:65" ht="30" customHeight="1" thickBot="1">
      <c r="A6" s="8" t="s">
        <v>5</v>
      </c>
      <c r="B6" s="28" t="s">
        <v>14</v>
      </c>
      <c r="C6" s="29" t="s">
        <v>42</v>
      </c>
      <c r="D6" s="29" t="s">
        <v>25</v>
      </c>
      <c r="E6" s="29" t="s">
        <v>26</v>
      </c>
      <c r="F6" s="29" t="s">
        <v>27</v>
      </c>
      <c r="G6" s="29" t="s">
        <v>45</v>
      </c>
      <c r="H6" s="29" t="s">
        <v>44</v>
      </c>
      <c r="I6" s="56" t="s">
        <v>46</v>
      </c>
      <c r="J6" s="30" t="str">
        <f t="shared" ref="J6:AO6" ca="1" si="3">LEFT(TEXT(J5,"aaa"),1)</f>
        <v>月</v>
      </c>
      <c r="K6" s="30" t="str">
        <f t="shared" ca="1" si="3"/>
        <v>火</v>
      </c>
      <c r="L6" s="30" t="str">
        <f t="shared" ca="1" si="3"/>
        <v>水</v>
      </c>
      <c r="M6" s="30" t="str">
        <f t="shared" ca="1" si="3"/>
        <v>木</v>
      </c>
      <c r="N6" s="30" t="str">
        <f t="shared" ca="1" si="3"/>
        <v>金</v>
      </c>
      <c r="O6" s="30" t="str">
        <f t="shared" ca="1" si="3"/>
        <v>土</v>
      </c>
      <c r="P6" s="30" t="str">
        <f t="shared" ca="1" si="3"/>
        <v>日</v>
      </c>
      <c r="Q6" s="30" t="str">
        <f t="shared" ca="1" si="3"/>
        <v>月</v>
      </c>
      <c r="R6" s="30" t="str">
        <f t="shared" ca="1" si="3"/>
        <v>火</v>
      </c>
      <c r="S6" s="30" t="str">
        <f t="shared" ca="1" si="3"/>
        <v>水</v>
      </c>
      <c r="T6" s="30" t="str">
        <f t="shared" ca="1" si="3"/>
        <v>木</v>
      </c>
      <c r="U6" s="30" t="str">
        <f t="shared" ca="1" si="3"/>
        <v>金</v>
      </c>
      <c r="V6" s="30" t="str">
        <f t="shared" ca="1" si="3"/>
        <v>土</v>
      </c>
      <c r="W6" s="30" t="str">
        <f t="shared" ca="1" si="3"/>
        <v>日</v>
      </c>
      <c r="X6" s="30" t="str">
        <f t="shared" ca="1" si="3"/>
        <v>月</v>
      </c>
      <c r="Y6" s="30" t="str">
        <f t="shared" ca="1" si="3"/>
        <v>火</v>
      </c>
      <c r="Z6" s="30" t="str">
        <f t="shared" ca="1" si="3"/>
        <v>水</v>
      </c>
      <c r="AA6" s="30" t="str">
        <f t="shared" ca="1" si="3"/>
        <v>木</v>
      </c>
      <c r="AB6" s="30" t="str">
        <f t="shared" ca="1" si="3"/>
        <v>金</v>
      </c>
      <c r="AC6" s="30" t="str">
        <f t="shared" ca="1" si="3"/>
        <v>土</v>
      </c>
      <c r="AD6" s="30" t="str">
        <f t="shared" ca="1" si="3"/>
        <v>日</v>
      </c>
      <c r="AE6" s="30" t="str">
        <f t="shared" ca="1" si="3"/>
        <v>月</v>
      </c>
      <c r="AF6" s="30" t="str">
        <f t="shared" ca="1" si="3"/>
        <v>火</v>
      </c>
      <c r="AG6" s="30" t="str">
        <f t="shared" ca="1" si="3"/>
        <v>水</v>
      </c>
      <c r="AH6" s="30" t="str">
        <f t="shared" ca="1" si="3"/>
        <v>木</v>
      </c>
      <c r="AI6" s="30" t="str">
        <f t="shared" ca="1" si="3"/>
        <v>金</v>
      </c>
      <c r="AJ6" s="30" t="str">
        <f t="shared" ca="1" si="3"/>
        <v>土</v>
      </c>
      <c r="AK6" s="30" t="str">
        <f t="shared" ca="1" si="3"/>
        <v>日</v>
      </c>
      <c r="AL6" s="30" t="str">
        <f t="shared" ca="1" si="3"/>
        <v>月</v>
      </c>
      <c r="AM6" s="30" t="str">
        <f t="shared" ca="1" si="3"/>
        <v>火</v>
      </c>
      <c r="AN6" s="30" t="str">
        <f t="shared" ca="1" si="3"/>
        <v>水</v>
      </c>
      <c r="AO6" s="30" t="str">
        <f t="shared" ca="1" si="3"/>
        <v>木</v>
      </c>
      <c r="AP6" s="30" t="str">
        <f t="shared" ref="AP6:BM6" ca="1" si="4">LEFT(TEXT(AP5,"aaa"),1)</f>
        <v>金</v>
      </c>
      <c r="AQ6" s="30" t="str">
        <f t="shared" ca="1" si="4"/>
        <v>土</v>
      </c>
      <c r="AR6" s="30" t="str">
        <f t="shared" ca="1" si="4"/>
        <v>日</v>
      </c>
      <c r="AS6" s="30" t="str">
        <f t="shared" ca="1" si="4"/>
        <v>月</v>
      </c>
      <c r="AT6" s="30" t="str">
        <f t="shared" ca="1" si="4"/>
        <v>火</v>
      </c>
      <c r="AU6" s="30" t="str">
        <f t="shared" ca="1" si="4"/>
        <v>水</v>
      </c>
      <c r="AV6" s="30" t="str">
        <f t="shared" ca="1" si="4"/>
        <v>木</v>
      </c>
      <c r="AW6" s="30" t="str">
        <f t="shared" ca="1" si="4"/>
        <v>金</v>
      </c>
      <c r="AX6" s="30" t="str">
        <f t="shared" ca="1" si="4"/>
        <v>土</v>
      </c>
      <c r="AY6" s="30" t="str">
        <f t="shared" ca="1" si="4"/>
        <v>日</v>
      </c>
      <c r="AZ6" s="30" t="str">
        <f t="shared" ca="1" si="4"/>
        <v>月</v>
      </c>
      <c r="BA6" s="30" t="str">
        <f t="shared" ca="1" si="4"/>
        <v>火</v>
      </c>
      <c r="BB6" s="30" t="str">
        <f t="shared" ca="1" si="4"/>
        <v>水</v>
      </c>
      <c r="BC6" s="30" t="str">
        <f t="shared" ca="1" si="4"/>
        <v>木</v>
      </c>
      <c r="BD6" s="30" t="str">
        <f t="shared" ca="1" si="4"/>
        <v>金</v>
      </c>
      <c r="BE6" s="30" t="str">
        <f t="shared" ca="1" si="4"/>
        <v>土</v>
      </c>
      <c r="BF6" s="30" t="str">
        <f t="shared" ca="1" si="4"/>
        <v>日</v>
      </c>
      <c r="BG6" s="30" t="str">
        <f t="shared" ca="1" si="4"/>
        <v>月</v>
      </c>
      <c r="BH6" s="30" t="str">
        <f t="shared" ca="1" si="4"/>
        <v>火</v>
      </c>
      <c r="BI6" s="30" t="str">
        <f t="shared" ca="1" si="4"/>
        <v>水</v>
      </c>
      <c r="BJ6" s="30" t="str">
        <f t="shared" ca="1" si="4"/>
        <v>木</v>
      </c>
      <c r="BK6" s="30" t="str">
        <f t="shared" ca="1" si="4"/>
        <v>金</v>
      </c>
      <c r="BL6" s="30" t="str">
        <f t="shared" ca="1" si="4"/>
        <v>土</v>
      </c>
      <c r="BM6" s="30" t="str">
        <f t="shared" ca="1" si="4"/>
        <v>日</v>
      </c>
    </row>
    <row r="7" spans="1:65" ht="30" customHeight="1" thickBot="1">
      <c r="A7" s="8" t="s">
        <v>6</v>
      </c>
      <c r="B7" s="31" t="s">
        <v>15</v>
      </c>
      <c r="C7" s="12"/>
      <c r="D7" s="66">
        <f>(H7 - IF(G7="", H7, G7)) / H7</f>
        <v>0.12</v>
      </c>
      <c r="E7" s="67">
        <f ca="1">MIN(E8:E13)</f>
        <v>45182</v>
      </c>
      <c r="F7" s="67">
        <f ca="1">MAX(F8:F13)</f>
        <v>45218</v>
      </c>
      <c r="G7" s="70">
        <f>I7</f>
        <v>22</v>
      </c>
      <c r="H7" s="70">
        <f>SUM(H8:H13)</f>
        <v>25</v>
      </c>
      <c r="I7" s="55">
        <f>SUM(I8:I13)</f>
        <v>22</v>
      </c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</row>
    <row r="8" spans="1:65" s="1" customFormat="1" ht="30" customHeight="1" thickBot="1">
      <c r="A8" s="8" t="s">
        <v>7</v>
      </c>
      <c r="B8" s="18" t="s">
        <v>16</v>
      </c>
      <c r="C8" s="13"/>
      <c r="D8" s="68">
        <f>(H8 - IF(G8="", H8, G8)) / H8</f>
        <v>0.6</v>
      </c>
      <c r="E8" s="69">
        <f ca="1">プロジェクトの開始</f>
        <v>45182</v>
      </c>
      <c r="F8" s="69">
        <f ca="1">WORKDAY(E8,H8-1,_祝日)</f>
        <v>45189</v>
      </c>
      <c r="G8" s="32">
        <v>2</v>
      </c>
      <c r="H8" s="32">
        <v>5</v>
      </c>
      <c r="I8" s="55">
        <f>MIN(G8:H8)</f>
        <v>2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</row>
    <row r="9" spans="1:65" s="1" customFormat="1" ht="30" customHeight="1" thickBot="1">
      <c r="A9" s="8" t="s">
        <v>8</v>
      </c>
      <c r="B9" s="18" t="s">
        <v>17</v>
      </c>
      <c r="C9" s="13"/>
      <c r="D9" s="68">
        <f t="shared" ref="D9:D26" si="5">(H9 - IF(G9="", H9, G9)) / H9</f>
        <v>0</v>
      </c>
      <c r="E9" s="69">
        <f ca="1">WORKDAY(F8,1,_祝日)</f>
        <v>45190</v>
      </c>
      <c r="F9" s="69">
        <f ca="1">WORKDAY(E9,H9-1,_祝日)</f>
        <v>45196</v>
      </c>
      <c r="G9" s="32"/>
      <c r="H9" s="32">
        <v>5</v>
      </c>
      <c r="I9" s="55">
        <f t="shared" ref="I9:I12" si="6">MIN(G9:H9)</f>
        <v>5</v>
      </c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6"/>
      <c r="W9" s="6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</row>
    <row r="10" spans="1:65" s="1" customFormat="1" ht="30" customHeight="1" thickBot="1">
      <c r="A10" s="7"/>
      <c r="B10" s="18" t="s">
        <v>18</v>
      </c>
      <c r="C10" s="13"/>
      <c r="D10" s="68">
        <f t="shared" si="5"/>
        <v>0</v>
      </c>
      <c r="E10" s="69">
        <f ca="1">WORKDAY(F9,1,_祝日)</f>
        <v>45197</v>
      </c>
      <c r="F10" s="69">
        <f ca="1">WORKDAY(E10,H10-1,_祝日)</f>
        <v>45203</v>
      </c>
      <c r="G10" s="32"/>
      <c r="H10" s="32">
        <v>5</v>
      </c>
      <c r="I10" s="55">
        <f t="shared" si="6"/>
        <v>5</v>
      </c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</row>
    <row r="11" spans="1:65" s="1" customFormat="1" ht="30" customHeight="1" thickBot="1">
      <c r="A11" s="7"/>
      <c r="B11" s="18" t="s">
        <v>19</v>
      </c>
      <c r="C11" s="13"/>
      <c r="D11" s="68">
        <f t="shared" si="5"/>
        <v>0</v>
      </c>
      <c r="E11" s="69">
        <f ca="1">WORKDAY(F10,1,_祝日)</f>
        <v>45204</v>
      </c>
      <c r="F11" s="69">
        <f ca="1">WORKDAY(E11,H11-1,_祝日)</f>
        <v>45211</v>
      </c>
      <c r="G11" s="32"/>
      <c r="H11" s="32">
        <v>5</v>
      </c>
      <c r="I11" s="55">
        <f t="shared" si="6"/>
        <v>5</v>
      </c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6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</row>
    <row r="12" spans="1:65" s="1" customFormat="1" ht="30" customHeight="1" thickBot="1">
      <c r="A12" s="7"/>
      <c r="B12" s="18" t="s">
        <v>20</v>
      </c>
      <c r="C12" s="13"/>
      <c r="D12" s="68">
        <f t="shared" si="5"/>
        <v>0</v>
      </c>
      <c r="E12" s="69">
        <f ca="1">WORKDAY(F11,1,_祝日)</f>
        <v>45212</v>
      </c>
      <c r="F12" s="69">
        <f ca="1">WORKDAY(E12,H12-1,_祝日)</f>
        <v>45218</v>
      </c>
      <c r="G12" s="32"/>
      <c r="H12" s="32">
        <v>5</v>
      </c>
      <c r="I12" s="55">
        <f t="shared" si="6"/>
        <v>5</v>
      </c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</row>
    <row r="13" spans="1:65" s="1" customFormat="1" ht="30" customHeight="1" thickBot="1">
      <c r="A13" s="7"/>
      <c r="B13" s="18"/>
      <c r="C13" s="13"/>
      <c r="D13" s="68"/>
      <c r="E13" s="69"/>
      <c r="F13" s="69"/>
      <c r="G13" s="32"/>
      <c r="H13" s="32"/>
      <c r="I13" s="5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</row>
    <row r="14" spans="1:65" s="1" customFormat="1" ht="30" customHeight="1" thickBot="1">
      <c r="A14" s="8" t="s">
        <v>9</v>
      </c>
      <c r="B14" s="33" t="s">
        <v>21</v>
      </c>
      <c r="C14" s="14"/>
      <c r="D14" s="71">
        <f t="shared" si="5"/>
        <v>0</v>
      </c>
      <c r="E14" s="72">
        <f ca="1">MIN(E15:E20)</f>
        <v>45182</v>
      </c>
      <c r="F14" s="72">
        <f ca="1">MAX(F15:F20)</f>
        <v>45218</v>
      </c>
      <c r="G14" s="70">
        <f>I14</f>
        <v>25</v>
      </c>
      <c r="H14" s="70">
        <f>SUM(H15:H20)</f>
        <v>25</v>
      </c>
      <c r="I14" s="55">
        <f>SUM(I15:I20)</f>
        <v>25</v>
      </c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</row>
    <row r="15" spans="1:65" s="1" customFormat="1" ht="30" customHeight="1" thickBot="1">
      <c r="A15" s="8"/>
      <c r="B15" s="19" t="s">
        <v>16</v>
      </c>
      <c r="C15" s="15"/>
      <c r="D15" s="73">
        <f t="shared" si="5"/>
        <v>0</v>
      </c>
      <c r="E15" s="74">
        <f ca="1">プロジェクトの開始</f>
        <v>45182</v>
      </c>
      <c r="F15" s="74">
        <f ca="1">WORKDAY(E15,H15-1,_祝日)</f>
        <v>45189</v>
      </c>
      <c r="G15" s="32"/>
      <c r="H15" s="32">
        <v>5</v>
      </c>
      <c r="I15" s="55">
        <f t="shared" ref="I15:I19" si="7">MIN(G15:H15)</f>
        <v>5</v>
      </c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</row>
    <row r="16" spans="1:65" s="1" customFormat="1" ht="30" customHeight="1" thickBot="1">
      <c r="A16" s="7"/>
      <c r="B16" s="19" t="s">
        <v>17</v>
      </c>
      <c r="C16" s="15"/>
      <c r="D16" s="73">
        <f t="shared" si="5"/>
        <v>0</v>
      </c>
      <c r="E16" s="74">
        <f ca="1">WORKDAY(F15,1,_祝日)</f>
        <v>45190</v>
      </c>
      <c r="F16" s="74">
        <f ca="1">WORKDAY(E16,H16-1,_祝日)</f>
        <v>45196</v>
      </c>
      <c r="G16" s="32"/>
      <c r="H16" s="32">
        <v>5</v>
      </c>
      <c r="I16" s="55">
        <f t="shared" si="7"/>
        <v>5</v>
      </c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6"/>
      <c r="W16" s="6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</row>
    <row r="17" spans="1:65" s="1" customFormat="1" ht="30" customHeight="1" thickBot="1">
      <c r="A17" s="7"/>
      <c r="B17" s="19" t="s">
        <v>18</v>
      </c>
      <c r="C17" s="15"/>
      <c r="D17" s="73">
        <f t="shared" si="5"/>
        <v>0</v>
      </c>
      <c r="E17" s="74">
        <f ca="1">WORKDAY(F16,1,_祝日)</f>
        <v>45197</v>
      </c>
      <c r="F17" s="74">
        <f ca="1">WORKDAY(E17,H17-1,_祝日)</f>
        <v>45203</v>
      </c>
      <c r="G17" s="32"/>
      <c r="H17" s="32">
        <v>5</v>
      </c>
      <c r="I17" s="55">
        <f t="shared" si="7"/>
        <v>5</v>
      </c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</row>
    <row r="18" spans="1:65" s="1" customFormat="1" ht="30" customHeight="1" thickBot="1">
      <c r="A18" s="7"/>
      <c r="B18" s="19" t="s">
        <v>19</v>
      </c>
      <c r="C18" s="15"/>
      <c r="D18" s="73">
        <f t="shared" si="5"/>
        <v>0</v>
      </c>
      <c r="E18" s="74">
        <f ca="1">WORKDAY(F17,1,_祝日)</f>
        <v>45204</v>
      </c>
      <c r="F18" s="74">
        <f ca="1">WORKDAY(E18,H18-1,_祝日)</f>
        <v>45211</v>
      </c>
      <c r="G18" s="32"/>
      <c r="H18" s="32">
        <v>5</v>
      </c>
      <c r="I18" s="55">
        <f t="shared" si="7"/>
        <v>5</v>
      </c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6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</row>
    <row r="19" spans="1:65" s="1" customFormat="1" ht="30" customHeight="1" thickBot="1">
      <c r="A19" s="7"/>
      <c r="B19" s="19" t="s">
        <v>20</v>
      </c>
      <c r="C19" s="15"/>
      <c r="D19" s="73">
        <f t="shared" si="5"/>
        <v>0</v>
      </c>
      <c r="E19" s="74">
        <f ca="1">WORKDAY(F18,1,_祝日)</f>
        <v>45212</v>
      </c>
      <c r="F19" s="74">
        <f ca="1">WORKDAY(E19,H19-1,_祝日)</f>
        <v>45218</v>
      </c>
      <c r="G19" s="32"/>
      <c r="H19" s="32">
        <v>5</v>
      </c>
      <c r="I19" s="55">
        <f t="shared" si="7"/>
        <v>5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</row>
    <row r="20" spans="1:65" s="1" customFormat="1" ht="30" customHeight="1" thickBot="1">
      <c r="A20" s="7"/>
      <c r="B20" s="19"/>
      <c r="C20" s="15"/>
      <c r="D20" s="73"/>
      <c r="E20" s="74"/>
      <c r="F20" s="74"/>
      <c r="G20" s="32"/>
      <c r="H20" s="32"/>
      <c r="I20" s="5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</row>
    <row r="21" spans="1:65" s="1" customFormat="1" ht="30" customHeight="1" thickBot="1">
      <c r="A21" s="7" t="s">
        <v>10</v>
      </c>
      <c r="B21" s="34" t="s">
        <v>22</v>
      </c>
      <c r="C21" s="16"/>
      <c r="D21" s="75">
        <f t="shared" si="5"/>
        <v>0</v>
      </c>
      <c r="E21" s="76">
        <f ca="1">MIN(E22:E27)</f>
        <v>45182</v>
      </c>
      <c r="F21" s="76">
        <f ca="1">MAX(F22:F27)</f>
        <v>45218</v>
      </c>
      <c r="G21" s="70">
        <f>I21</f>
        <v>25</v>
      </c>
      <c r="H21" s="70">
        <f>SUM(H22:H27)</f>
        <v>25</v>
      </c>
      <c r="I21" s="55">
        <f>SUM(I22:I27)</f>
        <v>25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</row>
    <row r="22" spans="1:65" s="1" customFormat="1" ht="30" customHeight="1" thickBot="1">
      <c r="A22" s="7"/>
      <c r="B22" s="20" t="s">
        <v>16</v>
      </c>
      <c r="C22" s="17"/>
      <c r="D22" s="77">
        <f t="shared" si="5"/>
        <v>0</v>
      </c>
      <c r="E22" s="78">
        <f ca="1">プロジェクトの開始</f>
        <v>45182</v>
      </c>
      <c r="F22" s="78">
        <f ca="1">WORKDAY(E22,H22-1,_祝日)</f>
        <v>45189</v>
      </c>
      <c r="G22" s="32"/>
      <c r="H22" s="32">
        <v>5</v>
      </c>
      <c r="I22" s="55">
        <f t="shared" ref="I22:I26" si="8">MIN(G22:H22)</f>
        <v>5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</row>
    <row r="23" spans="1:65" s="1" customFormat="1" ht="30" customHeight="1" thickBot="1">
      <c r="A23" s="7"/>
      <c r="B23" s="20" t="s">
        <v>17</v>
      </c>
      <c r="C23" s="17"/>
      <c r="D23" s="77">
        <f t="shared" si="5"/>
        <v>0</v>
      </c>
      <c r="E23" s="78">
        <f ca="1">WORKDAY(F22,1,_祝日)</f>
        <v>45190</v>
      </c>
      <c r="F23" s="78">
        <f ca="1">WORKDAY(E23,H23-1,_祝日)</f>
        <v>45196</v>
      </c>
      <c r="G23" s="32"/>
      <c r="H23" s="32">
        <v>5</v>
      </c>
      <c r="I23" s="55">
        <f t="shared" si="8"/>
        <v>5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</row>
    <row r="24" spans="1:65" s="1" customFormat="1" ht="30" customHeight="1" thickBot="1">
      <c r="A24" s="7"/>
      <c r="B24" s="20" t="s">
        <v>18</v>
      </c>
      <c r="C24" s="17"/>
      <c r="D24" s="77">
        <f t="shared" si="5"/>
        <v>0</v>
      </c>
      <c r="E24" s="78">
        <f ca="1">WORKDAY(F23,1,_祝日)</f>
        <v>45197</v>
      </c>
      <c r="F24" s="78">
        <f ca="1">WORKDAY(E24,H24-1,_祝日)</f>
        <v>45203</v>
      </c>
      <c r="G24" s="32"/>
      <c r="H24" s="32">
        <v>5</v>
      </c>
      <c r="I24" s="55">
        <f t="shared" si="8"/>
        <v>5</v>
      </c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</row>
    <row r="25" spans="1:65" s="1" customFormat="1" ht="30" customHeight="1" thickBot="1">
      <c r="A25" s="7"/>
      <c r="B25" s="20" t="s">
        <v>19</v>
      </c>
      <c r="C25" s="17"/>
      <c r="D25" s="77">
        <f t="shared" si="5"/>
        <v>0</v>
      </c>
      <c r="E25" s="78">
        <f ca="1">WORKDAY(F24,1,_祝日)</f>
        <v>45204</v>
      </c>
      <c r="F25" s="78">
        <f ca="1">WORKDAY(E25,H25-1,_祝日)</f>
        <v>45211</v>
      </c>
      <c r="G25" s="32"/>
      <c r="H25" s="32">
        <v>5</v>
      </c>
      <c r="I25" s="55">
        <f t="shared" si="8"/>
        <v>5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</row>
    <row r="26" spans="1:65" s="1" customFormat="1" ht="30" customHeight="1" thickBot="1">
      <c r="A26" s="7"/>
      <c r="B26" s="20" t="s">
        <v>20</v>
      </c>
      <c r="C26" s="17"/>
      <c r="D26" s="77">
        <f t="shared" si="5"/>
        <v>0</v>
      </c>
      <c r="E26" s="78">
        <f ca="1">WORKDAY(F25,1,_祝日)</f>
        <v>45212</v>
      </c>
      <c r="F26" s="78">
        <f ca="1">WORKDAY(E26,H26-1,_祝日)</f>
        <v>45218</v>
      </c>
      <c r="G26" s="32"/>
      <c r="H26" s="32">
        <v>5</v>
      </c>
      <c r="I26" s="55">
        <f t="shared" si="8"/>
        <v>5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</row>
    <row r="27" spans="1:65" s="1" customFormat="1" ht="30" customHeight="1" thickBot="1">
      <c r="A27" s="7"/>
      <c r="B27" s="20"/>
      <c r="C27" s="17"/>
      <c r="D27" s="79"/>
      <c r="E27" s="78"/>
      <c r="F27" s="78"/>
      <c r="G27" s="57"/>
      <c r="H27" s="57"/>
      <c r="I27" s="58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</row>
    <row r="28" spans="1:65" s="1" customFormat="1" ht="30" customHeight="1">
      <c r="A28" s="7"/>
      <c r="B28"/>
      <c r="C28"/>
      <c r="D28"/>
      <c r="E28" s="2"/>
      <c r="F28"/>
      <c r="G28" s="3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</row>
    <row r="29" spans="1:65" ht="30" customHeight="1">
      <c r="C29" s="35"/>
      <c r="F29" s="36"/>
    </row>
    <row r="30" spans="1:65" ht="30" customHeight="1">
      <c r="C30" s="37"/>
    </row>
  </sheetData>
  <mergeCells count="11">
    <mergeCell ref="BG4:BM4"/>
    <mergeCell ref="E3:F3"/>
    <mergeCell ref="J4:P4"/>
    <mergeCell ref="Q4:W4"/>
    <mergeCell ref="X4:AD4"/>
    <mergeCell ref="AE4:AK4"/>
    <mergeCell ref="C3:D3"/>
    <mergeCell ref="C4:D4"/>
    <mergeCell ref="AL4:AR4"/>
    <mergeCell ref="AS4:AY4"/>
    <mergeCell ref="AZ4:BF4"/>
  </mergeCells>
  <phoneticPr fontId="28"/>
  <conditionalFormatting sqref="D7:D27">
    <cfRule type="dataBar" priority="15">
      <dataBar>
        <cfvo type="num" val="0"/>
        <cfvo type="num" val="1"/>
        <color theme="0" tint="-0.249977111117893"/>
      </dataBar>
      <extLst>
        <ext xmlns:x14="http://schemas.microsoft.com/office/spreadsheetml/2009/9/main" uri="{B025F937-C7B1-47D3-B67F-A62EFF666E3E}">
          <x14:id>{B0389232-4C98-4A03-AD0E-39F63BAD1F53}</x14:id>
        </ext>
      </extLst>
    </cfRule>
  </conditionalFormatting>
  <conditionalFormatting sqref="J5:BM27">
    <cfRule type="expression" dxfId="3" priority="1">
      <formula>AND(TODAY()&gt;=J$5,TODAY()&lt;K$5)</formula>
    </cfRule>
    <cfRule type="expression" dxfId="2" priority="28">
      <formula>NETWORKDAYS(J$5,J$5, _祝日)=0</formula>
    </cfRule>
    <cfRule type="expression" dxfId="1" priority="29">
      <formula>AND($E5&lt;=J$5, J$5 &lt;= WORKDAY($E5, IF($G5="", -1, $H5 - $G5-1),_祝日), $F5&gt;0)</formula>
    </cfRule>
    <cfRule type="expression" dxfId="0" priority="34" stopIfTrue="1">
      <formula>AND($E5&lt;=J$5, J$5&lt;=$F5, $F5&gt;0)</formula>
    </cfRule>
  </conditionalFormatting>
  <dataValidations count="2">
    <dataValidation type="list" operator="greaterThanOrEqual" allowBlank="1" showInputMessage="1" promptTitle="週表示" prompt="この数字を変更すると、ガント チャート ビューがスクロールされます。" sqref="E4">
      <formula1>"-5,-4,-3,-2,-1,0,1,2,3,4,5,6,7,8,9,10,11,12,13,14,15,16,17,18,19,20,21,22,23,24,25,26,27,28,29,30,31,32,33,34,35,36,37,38,39,40,41,42,43,44,45,46,47,48,49,50,51,52,53,54,55,56,57,58,59,60,61,62,63,64,65,66,67,68,69,70,71,72,73,74,75,76,77,78,79,80,81,82"</formula1>
    </dataValidation>
    <dataValidation type="list" allowBlank="1" showInputMessage="1" showErrorMessage="1" sqref="G15:H20 G8:H13 G22:H27">
      <formula1>"0,1,2,3,4,5,6,7,8,9,10,11,12,13,14,15,16,17,18,19,20,21,22,23,24,25,26,27,28,29,30,31,32,33,34,35,36,37,38,39,40,41,42,43,44,45,46,47,48,49,50,51,52,53,54,55,56,57,58,59,60,61,62,63,64,65,66,67,68,69,70,71,72,73,74,75,76,77,78,79,80,81,82"</formula1>
    </dataValidation>
  </dataValidations>
  <hyperlinks>
    <hyperlink ref="J2" r:id="rId1"/>
    <hyperlink ref="J1" r:id="rId2"/>
  </hyperlinks>
  <printOptions horizontalCentered="1"/>
  <pageMargins left="0.35" right="0.35" top="0.35" bottom="0.5" header="0.3" footer="0.3"/>
  <pageSetup paperSize="9" scale="49" fitToHeight="0" orientation="landscape" r:id="rId3"/>
  <headerFooter differentFirst="1" scaleWithDoc="0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389232-4C98-4A03-AD0E-39F63BAD1F5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D7:D27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26"/>
  <sheetViews>
    <sheetView workbookViewId="0">
      <selection activeCell="B2" sqref="B2"/>
    </sheetView>
  </sheetViews>
  <sheetFormatPr defaultRowHeight="15.75"/>
  <cols>
    <col min="2" max="2" width="11.33203125" customWidth="1"/>
    <col min="3" max="3" width="12.33203125" customWidth="1"/>
    <col min="4" max="4" width="11.109375" customWidth="1"/>
  </cols>
  <sheetData>
    <row r="1" spans="2:4">
      <c r="B1" s="53">
        <v>2022</v>
      </c>
      <c r="C1" s="53">
        <v>2023</v>
      </c>
      <c r="D1" s="53">
        <v>2024</v>
      </c>
    </row>
    <row r="2" spans="2:4">
      <c r="B2" s="54">
        <v>44562</v>
      </c>
      <c r="C2" s="54">
        <v>44927</v>
      </c>
      <c r="D2" s="54">
        <v>45292</v>
      </c>
    </row>
    <row r="3" spans="2:4">
      <c r="B3" s="54">
        <v>44563</v>
      </c>
      <c r="C3" s="54">
        <v>44928</v>
      </c>
      <c r="D3" s="54">
        <v>45293</v>
      </c>
    </row>
    <row r="4" spans="2:4">
      <c r="B4" s="54">
        <v>44564</v>
      </c>
      <c r="C4" s="54">
        <v>44929</v>
      </c>
      <c r="D4" s="54">
        <v>45294</v>
      </c>
    </row>
    <row r="5" spans="2:4">
      <c r="B5" s="54">
        <v>44571</v>
      </c>
      <c r="C5" s="54">
        <v>44935</v>
      </c>
      <c r="D5" s="54">
        <v>45299</v>
      </c>
    </row>
    <row r="6" spans="2:4">
      <c r="B6" s="54">
        <v>44603</v>
      </c>
      <c r="C6" s="54">
        <v>44968</v>
      </c>
      <c r="D6" s="54">
        <v>45334</v>
      </c>
    </row>
    <row r="7" spans="2:4">
      <c r="B7" s="54">
        <v>44615</v>
      </c>
      <c r="C7" s="54">
        <v>44980</v>
      </c>
      <c r="D7" s="54">
        <v>45345</v>
      </c>
    </row>
    <row r="8" spans="2:4">
      <c r="B8" s="54">
        <v>44641</v>
      </c>
      <c r="C8" s="54">
        <v>45006</v>
      </c>
      <c r="D8" s="54">
        <v>45371</v>
      </c>
    </row>
    <row r="9" spans="2:4">
      <c r="B9" s="54">
        <v>44680</v>
      </c>
      <c r="C9" s="54">
        <v>45045</v>
      </c>
      <c r="D9" s="54">
        <v>45411</v>
      </c>
    </row>
    <row r="10" spans="2:4">
      <c r="B10" s="54">
        <v>44681</v>
      </c>
      <c r="C10" s="54">
        <v>45046</v>
      </c>
      <c r="D10" s="54">
        <v>45412</v>
      </c>
    </row>
    <row r="11" spans="2:4">
      <c r="B11" s="54">
        <v>44682</v>
      </c>
      <c r="C11" s="54">
        <v>45047</v>
      </c>
      <c r="D11" s="54">
        <v>45413</v>
      </c>
    </row>
    <row r="12" spans="2:4">
      <c r="B12" s="54">
        <v>44683</v>
      </c>
      <c r="C12" s="54">
        <v>45048</v>
      </c>
      <c r="D12" s="54">
        <v>45414</v>
      </c>
    </row>
    <row r="13" spans="2:4">
      <c r="B13" s="54">
        <v>44684</v>
      </c>
      <c r="C13" s="54">
        <v>45049</v>
      </c>
      <c r="D13" s="54">
        <v>45415</v>
      </c>
    </row>
    <row r="14" spans="2:4">
      <c r="B14" s="54">
        <v>44685</v>
      </c>
      <c r="C14" s="54">
        <v>45050</v>
      </c>
      <c r="D14" s="54">
        <v>45416</v>
      </c>
    </row>
    <row r="15" spans="2:4">
      <c r="B15" s="54">
        <v>44686</v>
      </c>
      <c r="C15" s="54">
        <v>45051</v>
      </c>
      <c r="D15" s="54">
        <v>45417</v>
      </c>
    </row>
    <row r="16" spans="2:4">
      <c r="B16" s="54">
        <v>44760</v>
      </c>
      <c r="C16" s="54">
        <v>45125</v>
      </c>
      <c r="D16" s="54">
        <v>45418</v>
      </c>
    </row>
    <row r="17" spans="2:4">
      <c r="B17" s="54">
        <v>44784</v>
      </c>
      <c r="C17" s="54">
        <v>45149</v>
      </c>
      <c r="D17" s="54">
        <v>45491</v>
      </c>
    </row>
    <row r="18" spans="2:4">
      <c r="B18" s="54">
        <v>44823</v>
      </c>
      <c r="C18" s="54">
        <v>45187</v>
      </c>
      <c r="D18" s="54">
        <v>45515</v>
      </c>
    </row>
    <row r="19" spans="2:4">
      <c r="B19" s="54">
        <v>44827</v>
      </c>
      <c r="C19" s="54">
        <v>45192</v>
      </c>
      <c r="D19" s="54">
        <v>45553</v>
      </c>
    </row>
    <row r="20" spans="2:4">
      <c r="B20" s="54">
        <v>44844</v>
      </c>
      <c r="C20" s="54">
        <v>45208</v>
      </c>
      <c r="D20" s="54">
        <v>45558</v>
      </c>
    </row>
    <row r="21" spans="2:4">
      <c r="B21" s="54">
        <v>44868</v>
      </c>
      <c r="C21" s="54">
        <v>45233</v>
      </c>
      <c r="D21" s="54">
        <v>45574</v>
      </c>
    </row>
    <row r="22" spans="2:4">
      <c r="B22" s="54">
        <v>44888</v>
      </c>
      <c r="C22" s="54">
        <v>45253</v>
      </c>
      <c r="D22" s="54">
        <v>45599</v>
      </c>
    </row>
    <row r="23" spans="2:4">
      <c r="B23" s="54">
        <v>44924</v>
      </c>
      <c r="C23" s="54">
        <v>45289</v>
      </c>
      <c r="D23" s="54">
        <v>45619</v>
      </c>
    </row>
    <row r="24" spans="2:4">
      <c r="B24" s="54">
        <v>44925</v>
      </c>
      <c r="C24" s="54">
        <v>45290</v>
      </c>
      <c r="D24" s="54">
        <v>45655</v>
      </c>
    </row>
    <row r="25" spans="2:4">
      <c r="B25" s="54">
        <v>44926</v>
      </c>
      <c r="C25" s="54">
        <v>45291</v>
      </c>
      <c r="D25" s="54">
        <v>45656</v>
      </c>
    </row>
    <row r="26" spans="2:4">
      <c r="D26" s="54">
        <v>45657</v>
      </c>
    </row>
  </sheetData>
  <phoneticPr fontId="2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"/>
  <sheetViews>
    <sheetView showGridLines="0" topLeftCell="A10" zoomScaleNormal="100" workbookViewId="0">
      <selection activeCell="A10" sqref="A10"/>
    </sheetView>
  </sheetViews>
  <sheetFormatPr defaultColWidth="9" defaultRowHeight="14.25"/>
  <cols>
    <col min="1" max="1" width="87" style="38" customWidth="1"/>
    <col min="2" max="16384" width="9" style="39"/>
  </cols>
  <sheetData>
    <row r="1" spans="1:2" ht="46.5" customHeight="1"/>
    <row r="2" spans="1:2" s="41" customFormat="1" ht="16.5">
      <c r="A2" s="40" t="s">
        <v>28</v>
      </c>
      <c r="B2" s="40"/>
    </row>
    <row r="3" spans="1:2" s="44" customFormat="1" ht="27" customHeight="1">
      <c r="A3" s="42" t="s">
        <v>29</v>
      </c>
      <c r="B3" s="43"/>
    </row>
    <row r="4" spans="1:2" s="46" customFormat="1" ht="28.5">
      <c r="A4" s="45" t="s">
        <v>30</v>
      </c>
    </row>
    <row r="5" spans="1:2" ht="60" customHeight="1">
      <c r="A5" s="47" t="s">
        <v>31</v>
      </c>
    </row>
    <row r="6" spans="1:2" ht="26.25" customHeight="1">
      <c r="A6" s="45" t="s">
        <v>32</v>
      </c>
    </row>
    <row r="7" spans="1:2" s="38" customFormat="1" ht="204.95" customHeight="1">
      <c r="A7" s="48" t="s">
        <v>43</v>
      </c>
    </row>
    <row r="8" spans="1:2" s="46" customFormat="1" ht="28.5">
      <c r="A8" s="45" t="s">
        <v>33</v>
      </c>
    </row>
    <row r="9" spans="1:2" ht="47.25">
      <c r="A9" s="47" t="s">
        <v>34</v>
      </c>
    </row>
    <row r="10" spans="1:2" s="38" customFormat="1" ht="27.95" customHeight="1">
      <c r="A10" s="49" t="s">
        <v>35</v>
      </c>
    </row>
    <row r="11" spans="1:2" s="46" customFormat="1" ht="28.5">
      <c r="A11" s="45" t="s">
        <v>36</v>
      </c>
    </row>
    <row r="12" spans="1:2" ht="31.5">
      <c r="A12" s="47" t="s">
        <v>37</v>
      </c>
    </row>
    <row r="13" spans="1:2" s="38" customFormat="1" ht="27.95" customHeight="1">
      <c r="A13" s="49" t="s">
        <v>38</v>
      </c>
    </row>
    <row r="14" spans="1:2" s="46" customFormat="1" ht="28.5">
      <c r="A14" s="45" t="s">
        <v>39</v>
      </c>
    </row>
    <row r="15" spans="1:2" ht="64.5" customHeight="1">
      <c r="A15" s="47" t="s">
        <v>40</v>
      </c>
    </row>
    <row r="16" spans="1:2" ht="47.25">
      <c r="A16" s="47" t="s">
        <v>41</v>
      </c>
    </row>
  </sheetData>
  <phoneticPr fontId="28"/>
  <hyperlinks>
    <hyperlink ref="A13" r:id="rId1"/>
    <hyperlink ref="A10" r:id="rId2"/>
    <hyperlink ref="A3" r:id="rId3"/>
    <hyperlink ref="A2" r:id="rId4"/>
  </hyperlinks>
  <pageMargins left="0.5" right="0.5" top="0.5" bottom="0.5" header="0.3" footer="0.3"/>
  <pageSetup paperSize="9" orientation="portrait" r:id="rId5"/>
  <rowBreaks count="1" manualBreakCount="1">
    <brk id="15" max="16383" man="1"/>
  </rowBreaks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TM16400962</Templat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7</vt:i4>
      </vt:variant>
    </vt:vector>
  </HeadingPairs>
  <TitlesOfParts>
    <vt:vector size="10" baseType="lpstr">
      <vt:lpstr>プロジェクトのスケジュール</vt:lpstr>
      <vt:lpstr>祝日</vt:lpstr>
      <vt:lpstr>詳細情報</vt:lpstr>
      <vt:lpstr>_祝日</vt:lpstr>
      <vt:lpstr>プロジェクトのスケジュール!Print_Titles</vt:lpstr>
      <vt:lpstr>プロジェクトのスケジュール!タスク_開始</vt:lpstr>
      <vt:lpstr>プロジェクトのスケジュール!タスク_終了</vt:lpstr>
      <vt:lpstr>プロジェクトのスケジュール!タスク_進捗状況</vt:lpstr>
      <vt:lpstr>プロジェクトの開始</vt:lpstr>
      <vt:lpstr>週表示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:description/>
  <cp:lastModifiedBy/>
  <dcterms:created xsi:type="dcterms:W3CDTF">2023-01-08T00:24:57Z</dcterms:created>
  <dcterms:modified xsi:type="dcterms:W3CDTF">2023-09-13T10:43:10Z</dcterms:modified>
</cp:coreProperties>
</file>